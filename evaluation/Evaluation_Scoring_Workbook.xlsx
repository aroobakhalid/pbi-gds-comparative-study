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6800" tabRatio="500" firstSheet="6" activeTab="8"/>
  </bookViews>
  <sheets>
    <sheet name="Evaluator Details" sheetId="1" r:id="rId1"/>
    <sheet name="Scoring Anchors" sheetId="2" r:id="rId2"/>
    <sheet name="General Scoring Rubric" sheetId="3" r:id="rId3"/>
    <sheet name="Power BI - Raw Scores" sheetId="4" r:id="rId4"/>
    <sheet name="Google Data Studio - Raw Scores" sheetId="5" r:id="rId5"/>
    <sheet name="Summary Table" sheetId="6" r:id="rId6"/>
    <sheet name="ICC Methodology" sheetId="7" r:id="rId7"/>
    <sheet name="SPSS Input Matrix" sheetId="8" r:id="rId8"/>
    <sheet name="ICC RESULT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<sst xmlns="http://schemas.openxmlformats.org/spreadsheetml/2006/main" count="341" uniqueCount="203">
  <si>
    <t>Evaluator ID</t>
  </si>
  <si>
    <t>Qualification / Expertise</t>
  </si>
  <si>
    <t>Years of BI Experience</t>
  </si>
  <si>
    <t>Affiliation</t>
  </si>
  <si>
    <t>Role</t>
  </si>
  <si>
    <t>E1</t>
  </si>
  <si>
    <t>Student</t>
  </si>
  <si>
    <t>COMSATS University Islamabad, Lahore Campus</t>
  </si>
  <si>
    <t xml:space="preserve">BI </t>
  </si>
  <si>
    <t>E2</t>
  </si>
  <si>
    <t>University of Management &amp; Technology, Lahore</t>
  </si>
  <si>
    <t>Management &amp; Technology</t>
  </si>
  <si>
    <t>E3</t>
  </si>
  <si>
    <t>Lecturer</t>
  </si>
  <si>
    <t xml:space="preserve">ML, Data Analytics </t>
  </si>
  <si>
    <t>E4</t>
  </si>
  <si>
    <t xml:space="preserve">Data Analytics </t>
  </si>
  <si>
    <t>E5</t>
  </si>
  <si>
    <t>Assistant Professor</t>
  </si>
  <si>
    <t xml:space="preserve">BI, NLP </t>
  </si>
  <si>
    <t>Notes:</t>
  </si>
  <si>
    <t>All evaluators received identical datasets, dashboard specifications, task instructions, scoring anchors, and software configuration details. Evaluators assessed dashboards independently without viewing or discussing one another's ratings.</t>
  </si>
  <si>
    <t>Evaluation Dimension</t>
  </si>
  <si>
    <t>1 (Very Limited)</t>
  </si>
  <si>
    <t>2 (Basic Support)</t>
  </si>
  <si>
    <t>3 (Adequate)</t>
  </si>
  <si>
    <t>4 (Strong Support)</t>
  </si>
  <si>
    <t>5 (Comprehensive)</t>
  </si>
  <si>
    <t>Dataset Handling Capability</t>
  </si>
  <si>
    <t>Platform cannot ingest the file format; manual column-by-column setup required; no type detection.</t>
  </si>
  <si>
    <t>File ingested but column types mostly incorrect; no hierarchy detection; manual fixes for majority of fields.</t>
  </si>
  <si>
    <t>File ingested with most types detected correctly; basic hierarchy creation possible with some manual steps.</t>
  </si>
  <si>
    <t>File ingested cleanly; most column types auto-detected; date hierarchies created with minimal manual input; handles both dataset structures.</t>
  </si>
  <si>
    <t>All column types auto-detected; date hierarchies auto-created; seamless handling of varying dataset structures with minimal manual intervention.</t>
  </si>
  <si>
    <t>ETL Capability</t>
  </si>
  <si>
    <t>No native transformation environment; all cleaning must be done externally with no traceability.</t>
  </si>
  <si>
    <t>Basic transformations possible but no step history; limited reproducibility; external tool dependency required.</t>
  </si>
  <si>
    <t>Core transformations supported with partial step tracking; some reproducibility but gaps in audit trail.</t>
  </si>
  <si>
    <t>Comprehensive transformation suite with ordered step history; reproducible workflow; minor gaps in advanced transformations.</t>
  </si>
  <si>
    <t>Full native ETL environment with complete step history, reproducibility, auditability, and advanced transformation capabilities.</t>
  </si>
  <si>
    <t>Interface Velocity and Customization</t>
  </si>
  <si>
    <t>Creating basic dashboard components requires extensive navigation (&gt;10 clicks per element); minimal layout control.</t>
  </si>
  <si>
    <t>Dashboard creation possible but with deep menu navigation (7-10 clicks per modification); limited formatting options.</t>
  </si>
  <si>
    <t>Moderate interaction depth (4-6 clicks per task); adequate formatting and layout control; some snap-to-grid support.</t>
  </si>
  <si>
    <t>Low interaction depth (2-3 clicks per task); effective formatting options; good snap-to-grid and alignment tools.</t>
  </si>
  <si>
    <t>Minimal interaction depth (1-2 clicks per task); comprehensive formatting; effective drag-and-drop with grid snapping; single-panel access to all style options.</t>
  </si>
  <si>
    <t>KPI and Target Monitoring</t>
  </si>
  <si>
    <t>No native scorecard or gauge visual; KPI values require manual text entry.</t>
  </si>
  <si>
    <t>Basic scorecard display but no target/gauge functionality; static display only.</t>
  </si>
  <si>
    <t>Scorecards and gauges available; targets can be set but remain static and do not respond to filters.</t>
  </si>
  <si>
    <t>Scorecards well-integrated; gauges support targets via calculated fields; targets respond to filter context.</t>
  </si>
  <si>
    <t>Full KPI suite with dynamic calculated targets that auto-recalculate with filter changes; labeled callouts for immediate readability.</t>
  </si>
  <si>
    <t>Filter and Slicer Functionality</t>
  </si>
  <si>
    <t>No interactive filtering; data exploration requires manual chart reconfiguration.</t>
  </si>
  <si>
    <t>Basic dropdown filters available but no date hierarchy support; no cross-visual filtering.</t>
  </si>
  <si>
    <t>Date range picker and dropdown slicers available; limited cross-visual interaction; basic filtering adequate for common use.</t>
  </si>
  <si>
    <t>Native date hierarchy recognition; calendar-based range filtering; cross-visual interactions with minor setup required.</t>
  </si>
  <si>
    <t>Automatic date hierarchy with range slider; comprehensive cross-visual filtering; hierarchical slicers; instant value isolation.</t>
  </si>
  <si>
    <t>Chart Quality and Labeling</t>
  </si>
  <si>
    <t>Charts are largely unreadable due to label overlap, truncation, or poor formatting.</t>
  </si>
  <si>
    <t>Readability issues persist after applying available formatting controls in the tested configuration.</t>
  </si>
  <si>
    <t>Charts become reasonably readable after moderate manual adjustments, though some issues remain.</t>
  </si>
  <si>
    <t>Charts are clear and readable with only minor manual adjustments; effective typography control.</t>
  </si>
  <si>
    <t>Charts are automatically clear, consistent, and configurable with no meaningful readability issues.</t>
  </si>
  <si>
    <t>Geographic Visualization</t>
  </si>
  <si>
    <t>No native map visual; geographic data cannot be displayed spatially.</t>
  </si>
  <si>
    <t>Basic map available but single-variable encoding only; no legend; limited base-map quality.</t>
  </si>
  <si>
    <t>Map visual with single-variable encoding; adequate base map; legend requires manual setup or annotation.</t>
  </si>
  <si>
    <t>Map visual with good base map quality; supports multiple encoding types; some legend automation; interactive features.</t>
  </si>
  <si>
    <t>Map engine with dual-variable encoding (size and color); automatic legend generation; high-quality base map; interactive exploration.</t>
  </si>
  <si>
    <t>Dashboard Component Consistency</t>
  </si>
  <si>
    <t>Equivalent components cannot be built across the two datasets; notable visual or analytical divergence.</t>
  </si>
  <si>
    <t>Components can be replicated but with visible inconsistencies; analytical values may differ.</t>
  </si>
  <si>
    <t>Most components replicated successfully; minor visual differences; analytical values consistent across datasets.</t>
  </si>
  <si>
    <t>All components replicated with strong visual and analytical consistency; only minor presentational differences.</t>
  </si>
  <si>
    <t>All dashboard components replicated across both datasets; identical analytical values; consistent visual language throughout.</t>
  </si>
  <si>
    <t>Analytical Capability</t>
  </si>
  <si>
    <t>No support for calculated measures or aggregations beyond basic sum and count.</t>
  </si>
  <si>
    <t>Basic aggregations (sum, count, average) available; no support for dynamic calculations or conditional measures.</t>
  </si>
  <si>
    <t>Standard aggregations plus basic calculated fields; limited dynamic computation; adequate for common analytical tasks.</t>
  </si>
  <si>
    <t>Advanced calculated measures available; dynamic aggregations; conditional formatting; effective insight generation.</t>
  </si>
  <si>
    <t>Full analytical modeling with complex measures, dynamic calculations responsive to filter context, time intelligence, and advanced aggregation functions.</t>
  </si>
  <si>
    <t>No-Code Development Suitability</t>
  </si>
  <si>
    <t>Requires scripting or coding knowledge to produce a basic dashboard; not accessible to non-technical users.</t>
  </si>
  <si>
    <t>Dashboard creation possible without code but requires significant platform expertise; steep learning curve.</t>
  </si>
  <si>
    <t>Moderate learning curve; non-technical users can build basic dashboards but may find advanced features challenging.</t>
  </si>
  <si>
    <t>Accessible interface; most dashboard tasks achievable without code; advanced features require some familiarization.</t>
  </si>
  <si>
    <t>Fully intuitive for non-technical users; complete dashboard creation without any coding; minimal learning curve.</t>
  </si>
  <si>
    <t>Score</t>
  </si>
  <si>
    <t>Label</t>
  </si>
  <si>
    <t>General Interpretation</t>
  </si>
  <si>
    <t>Very Limited</t>
  </si>
  <si>
    <t>Feature is absent or provides very limited support for the evaluated dimension. Significant manual effort or workarounds are required.</t>
  </si>
  <si>
    <t>Basic</t>
  </si>
  <si>
    <t>Basic support is present but with clear restrictions; multiple limitations reduce its practical usability or performance.</t>
  </si>
  <si>
    <t>Adequate</t>
  </si>
  <si>
    <t>Adequate for most common use cases; the core functionality is in place, although some gaps remain.</t>
  </si>
  <si>
    <t>Strong</t>
  </si>
  <si>
    <t>Effective support across most practical applications; only minor limitations exist that do not considerably affect overall usability.</t>
  </si>
  <si>
    <t>Comprehensive</t>
  </si>
  <si>
    <t>Well-rounded functionality with broad support; feature operates smoothly with very few limitations within the evaluated scope.</t>
  </si>
  <si>
    <t>Target ID</t>
  </si>
  <si>
    <t>Assessment Criteria</t>
  </si>
  <si>
    <t>Mean</t>
  </si>
  <si>
    <t>Std Dev</t>
  </si>
  <si>
    <t>T01</t>
  </si>
  <si>
    <t>Dataset ingestion, column hierarchy recognition, missing value handling, field detection, flexibility across dataset structures</t>
  </si>
  <si>
    <t>T02</t>
  </si>
  <si>
    <t>Data cleaning, transformation steps, calculated fields, workflow reproducibility, traceability of applied changes</t>
  </si>
  <si>
    <t>T03</t>
  </si>
  <si>
    <t>Effort required for dashboard creation, interaction depth per task, formatting options, layout control, customization range</t>
  </si>
  <si>
    <t>T04</t>
  </si>
  <si>
    <t>KPI presentation, target tracking, dynamic benchmark implementation, filter responsiveness</t>
  </si>
  <si>
    <t>T05</t>
  </si>
  <si>
    <t>Date and hierarchical filtering, cross-visual interaction controls, navigation flexibility, dashboard responsiveness</t>
  </si>
  <si>
    <t>T06</t>
  </si>
  <si>
    <t>Label readability, formatting consistency, visual clarity, scatter-plot label spacing, presentation quality</t>
  </si>
  <si>
    <t>T07</t>
  </si>
  <si>
    <t>Map rendering quality, legend support availability, geographic data encoding, regional interpretability</t>
  </si>
  <si>
    <t>T08</t>
  </si>
  <si>
    <t>Ability to build equivalent components across datasets while preserving analytical accuracy and visual consistency</t>
  </si>
  <si>
    <t>T09</t>
  </si>
  <si>
    <t>Calculated measures support, aggregation functions, analytical operation depth, meaningful insight generation</t>
  </si>
  <si>
    <t>T10</t>
  </si>
  <si>
    <t>Learning accessibility, non-technical user accessibility, ability to build complete dashboards without coding</t>
  </si>
  <si>
    <t>TOTAL (Power BI)</t>
  </si>
  <si>
    <t>T11</t>
  </si>
  <si>
    <t>T12</t>
  </si>
  <si>
    <t>T13</t>
  </si>
  <si>
    <t>T14</t>
  </si>
  <si>
    <t>T15</t>
  </si>
  <si>
    <t>T16</t>
  </si>
  <si>
    <t>T17</t>
  </si>
  <si>
    <t>T18</t>
  </si>
  <si>
    <t>T19</t>
  </si>
  <si>
    <t>T20</t>
  </si>
  <si>
    <t>TOTAL (Looker Studio)</t>
  </si>
  <si>
    <t>PBI Mean</t>
  </si>
  <si>
    <t>PBI SD</t>
  </si>
  <si>
    <t>GDS Mean</t>
  </si>
  <si>
    <t>GDS SD</t>
  </si>
  <si>
    <t>Total Score</t>
  </si>
  <si>
    <t xml:space="preserve">INTER-RATER RELIABILITY: ICC(2,5) - Methodology </t>
  </si>
  <si>
    <t>Why ICC(2,5)?</t>
  </si>
  <si>
    <t>The evaluation uses a 1-5 ordinal scale where the magnitude of score differences is meaningful. ICC preserves this distance information, whereas nominal measures (e.g., Fleiss' kappa) would require collapsing the scale into categories, discarding granularity. ICC is the standard reliability measure for ordinal and interval rating data assessed by multiple raters.</t>
  </si>
  <si>
    <t>ICC Model Selected</t>
  </si>
  <si>
    <t>Two-way random-effects model with absolute agreement</t>
  </si>
  <si>
    <t>Justification</t>
  </si>
  <si>
    <t>Two-way random: both evaluation targets and evaluators are treated as random samples from broader populations. Absolute agreement: the analysis requires that evaluators assign the same score, not merely rank targets in the same order.</t>
  </si>
  <si>
    <t>What to Report</t>
  </si>
  <si>
    <t>ICC(2,1)</t>
  </si>
  <si>
    <t>Reliability of a single evaluator's rating. Report for transparency.</t>
  </si>
  <si>
    <t>ICC(2,5)</t>
  </si>
  <si>
    <t>Reliability of the mean rating across all five evaluators. This is the PRIMARY reported statistic because the final platform scores are derived from evaluator means.</t>
  </si>
  <si>
    <t>95% CI</t>
  </si>
  <si>
    <t>Report the confidence interval alongside the point estimate to indicate precision.</t>
  </si>
  <si>
    <t>F-test p-value</t>
  </si>
  <si>
    <t>Report to confirm statistical significance of agreement.</t>
  </si>
  <si>
    <t>SPSS Steps</t>
  </si>
  <si>
    <t>Analyze → Scale → Reliability Analysis → Move E1-E5 into Items → Statistics → Intraclass correlation coefficient → Model: Two-Way Random → Type: Absolute Agreement → Confidence Interval: 95% → Continue → OK</t>
  </si>
  <si>
    <t>Input Matrix</t>
  </si>
  <si>
    <t>20 rows (evaluation targets) × 5 columns (evaluators). (RAW SCORES)</t>
  </si>
  <si>
    <t>ICC Interpretation</t>
  </si>
  <si>
    <t>Below 0.50</t>
  </si>
  <si>
    <t>Poor reliability</t>
  </si>
  <si>
    <t>0.50 - 0.74</t>
  </si>
  <si>
    <t>Moderate reliability</t>
  </si>
  <si>
    <t>0.75 - 0.90</t>
  </si>
  <si>
    <t>Good reliability</t>
  </si>
  <si>
    <t>Above 0.90</t>
  </si>
  <si>
    <t>Excellent reliability</t>
  </si>
  <si>
    <t>SPSS ICC Output Fields to Record</t>
  </si>
  <si>
    <t>Single Measures ICC</t>
  </si>
  <si>
    <t>Average Measures ICC</t>
  </si>
  <si>
    <t>95% CI Lower Bound</t>
  </si>
  <si>
    <t>95% CI Upper Bound</t>
  </si>
  <si>
    <t>F Value</t>
  </si>
  <si>
    <t>Significance (p)</t>
  </si>
  <si>
    <t>&lt; .001</t>
  </si>
  <si>
    <t>Platform</t>
  </si>
  <si>
    <t>Dimension</t>
  </si>
  <si>
    <t>Power BI</t>
  </si>
  <si>
    <t>Google Data Studio</t>
  </si>
  <si>
    <t>ICC RESULTS</t>
  </si>
  <si>
    <t>Measure</t>
  </si>
  <si>
    <t>Value</t>
  </si>
  <si>
    <t>ICC Model</t>
  </si>
  <si>
    <t>Two-Way Random</t>
  </si>
  <si>
    <t>Agreement Type</t>
  </si>
  <si>
    <t>Absolute Agreement</t>
  </si>
  <si>
    <t>N (Targets)</t>
  </si>
  <si>
    <t>N (Evaluators)</t>
  </si>
  <si>
    <t>ICC(2,1) Single Measures</t>
  </si>
  <si>
    <t>ICC(2,1) 95% CI Lower</t>
  </si>
  <si>
    <t>ICC(2,1) 95% CI Upper</t>
  </si>
  <si>
    <t>ICC(2,5) Average Measures</t>
  </si>
  <si>
    <t>ICC(2,5) 95% CI Lower</t>
  </si>
  <si>
    <t>ICC(2,5) 95% CI Upper</t>
  </si>
  <si>
    <t>df1</t>
  </si>
  <si>
    <t>df2</t>
  </si>
  <si>
    <t>Significance</t>
  </si>
  <si>
    <t>p &lt; .001</t>
  </si>
  <si>
    <t>Cronbach's Alpha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</si>
</sst>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_ "/>
  </numFmts>
  <fonts count="34">
    <font>
      <sz val="11"/>
      <color theme="1"/>
      <name val="Calibri"/>
      <charset val="1"/>
    </font>
    <font>
      <b/>
      <sz val="14"/>
      <color theme="0"/>
      <name val="Calibri"/>
      <charset val="134"/>
    </font>
    <font>
      <sz val="12"/>
      <color theme="1"/>
      <name val="Calibri"/>
      <charset val="134"/>
    </font>
    <font>
      <b/>
      <sz val="11"/>
      <color theme="1"/>
      <name val="Calibri"/>
      <charset val="134"/>
    </font>
    <font>
      <sz val="11"/>
      <color theme="1"/>
      <name val="Calibri"/>
      <charset val="134"/>
    </font>
    <font>
      <b/>
      <sz val="11"/>
      <color theme="1"/>
      <name val="Calibri"/>
      <charset val="134"/>
      <scheme val="minor"/>
    </font>
    <font>
      <sz val="11"/>
      <color theme="1"/>
      <name val="Calibri"/>
      <charset val="134"/>
      <scheme val="minor"/>
    </font>
    <font>
      <b/>
      <sz val="11"/>
      <color theme="0"/>
      <name val="Calibri"/>
      <charset val="134"/>
      <scheme val="minor"/>
    </font>
    <font>
      <sz val="11"/>
      <color theme="0"/>
      <name val="Calibri"/>
      <charset val="134"/>
      <scheme val="minor"/>
    </font>
    <font>
      <b/>
      <sz val="12"/>
      <color theme="0"/>
      <name val="Calibri"/>
      <charset val="134"/>
      <scheme val="minor"/>
    </font>
    <font>
      <b/>
      <sz val="12"/>
      <color theme="0"/>
      <name val="Calibri"/>
      <charset val="134"/>
    </font>
    <font>
      <sz val="11"/>
      <color theme="0"/>
      <name val="Calibri"/>
      <charset val="134"/>
    </font>
    <font>
      <b/>
      <sz val="11"/>
      <color theme="0"/>
      <name val="Arial"/>
      <charset val="134"/>
    </font>
    <font>
      <b/>
      <sz val="12"/>
      <color theme="1"/>
      <name val="Calibri"/>
      <charset val="134"/>
    </font>
    <font>
      <i/>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bgColor rgb="FF99CCFF"/>
      </patternFill>
    </fill>
    <fill>
      <patternFill patternType="solid">
        <fgColor theme="0" tint="-0.1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6" fillId="7" borderId="18"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9" applyNumberFormat="0" applyFill="0" applyAlignment="0" applyProtection="0">
      <alignment vertical="center"/>
    </xf>
    <xf numFmtId="0" fontId="21" fillId="0" borderId="19" applyNumberFormat="0" applyFill="0" applyAlignment="0" applyProtection="0">
      <alignment vertical="center"/>
    </xf>
    <xf numFmtId="0" fontId="22" fillId="0" borderId="20" applyNumberFormat="0" applyFill="0" applyAlignment="0" applyProtection="0">
      <alignment vertical="center"/>
    </xf>
    <xf numFmtId="0" fontId="22" fillId="0" borderId="0" applyNumberFormat="0" applyFill="0" applyBorder="0" applyAlignment="0" applyProtection="0">
      <alignment vertical="center"/>
    </xf>
    <xf numFmtId="0" fontId="23" fillId="8" borderId="21" applyNumberFormat="0" applyAlignment="0" applyProtection="0">
      <alignment vertical="center"/>
    </xf>
    <xf numFmtId="0" fontId="24" fillId="9" borderId="22" applyNumberFormat="0" applyAlignment="0" applyProtection="0">
      <alignment vertical="center"/>
    </xf>
    <xf numFmtId="0" fontId="25" fillId="9" borderId="21" applyNumberFormat="0" applyAlignment="0" applyProtection="0">
      <alignment vertical="center"/>
    </xf>
    <xf numFmtId="0" fontId="26" fillId="10" borderId="23" applyNumberFormat="0" applyAlignment="0" applyProtection="0">
      <alignment vertical="center"/>
    </xf>
    <xf numFmtId="0" fontId="27" fillId="0" borderId="24" applyNumberFormat="0" applyFill="0" applyAlignment="0" applyProtection="0">
      <alignment vertical="center"/>
    </xf>
    <xf numFmtId="0" fontId="28" fillId="0" borderId="25" applyNumberFormat="0" applyFill="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2" fillId="37" borderId="0" applyNumberFormat="0" applyBorder="0" applyAlignment="0" applyProtection="0">
      <alignment vertical="center"/>
    </xf>
  </cellStyleXfs>
  <cellXfs count="52">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3" fillId="0" borderId="5" xfId="0" applyFont="1" applyBorder="1" applyAlignment="1">
      <alignment horizontal="left" vertical="center"/>
    </xf>
    <xf numFmtId="0" fontId="4" fillId="0" borderId="6" xfId="0" applyFont="1" applyBorder="1" applyAlignment="1">
      <alignment horizontal="center" vertical="center"/>
    </xf>
    <xf numFmtId="0" fontId="3" fillId="0" borderId="7" xfId="0" applyFont="1" applyBorder="1" applyAlignment="1">
      <alignment horizontal="left" vertical="center"/>
    </xf>
    <xf numFmtId="0" fontId="4" fillId="0" borderId="8" xfId="0" applyFont="1" applyBorder="1" applyAlignment="1">
      <alignment horizontal="center" vertical="center"/>
    </xf>
    <xf numFmtId="178" fontId="4" fillId="0" borderId="8" xfId="0" applyNumberFormat="1" applyFont="1" applyBorder="1" applyAlignment="1">
      <alignment horizontal="center" vertical="center"/>
    </xf>
    <xf numFmtId="0" fontId="3" fillId="0" borderId="9" xfId="0" applyFont="1" applyBorder="1" applyAlignment="1">
      <alignment horizontal="left" vertical="center"/>
    </xf>
    <xf numFmtId="0" fontId="4" fillId="0" borderId="10" xfId="0" applyFont="1" applyBorder="1" applyAlignment="1">
      <alignment horizontal="center" vertical="center"/>
    </xf>
    <xf numFmtId="0" fontId="2" fillId="0" borderId="0" xfId="0" applyFont="1" applyAlignment="1">
      <alignment horizontal="center"/>
    </xf>
    <xf numFmtId="0" fontId="0" fillId="0" borderId="0" xfId="0" applyFont="1" applyAlignment="1">
      <alignment horizontal="center" vertical="center"/>
    </xf>
    <xf numFmtId="0" fontId="0" fillId="0" borderId="0" xfId="0" applyFont="1" applyAlignment="1"/>
    <xf numFmtId="0" fontId="1" fillId="2" borderId="11" xfId="0" applyFont="1" applyFill="1" applyBorder="1" applyAlignment="1">
      <alignment horizontal="center" vertical="center" wrapText="1"/>
    </xf>
    <xf numFmtId="0" fontId="5" fillId="0" borderId="11" xfId="0" applyFont="1" applyBorder="1" applyAlignment="1">
      <alignment horizontal="left" vertical="center" wrapText="1"/>
    </xf>
    <xf numFmtId="0" fontId="6" fillId="0" borderId="11" xfId="0" applyFont="1" applyBorder="1" applyAlignment="1">
      <alignment horizontal="center" vertical="center" wrapText="1"/>
    </xf>
    <xf numFmtId="0" fontId="7" fillId="2" borderId="11" xfId="0" applyFont="1" applyFill="1" applyBorder="1" applyAlignment="1">
      <alignment horizontal="left" vertical="center" wrapText="1"/>
    </xf>
    <xf numFmtId="0" fontId="8" fillId="2" borderId="11" xfId="0" applyFont="1" applyFill="1" applyBorder="1" applyAlignment="1">
      <alignment horizontal="center" vertical="center" wrapText="1"/>
    </xf>
    <xf numFmtId="0" fontId="6" fillId="2" borderId="11" xfId="0" applyFont="1" applyFill="1" applyBorder="1" applyAlignment="1">
      <alignment horizontal="center" vertical="center" wrapText="1"/>
    </xf>
    <xf numFmtId="178" fontId="4" fillId="0" borderId="11" xfId="0" applyNumberFormat="1" applyFont="1" applyBorder="1" applyAlignment="1">
      <alignment horizontal="center" vertical="center"/>
    </xf>
    <xf numFmtId="0" fontId="4" fillId="0" borderId="11" xfId="0" applyFont="1" applyBorder="1" applyAlignment="1">
      <alignment horizontal="center" vertical="center"/>
    </xf>
    <xf numFmtId="0" fontId="3" fillId="0" borderId="11" xfId="0" applyFont="1" applyBorder="1" applyAlignment="1">
      <alignment horizontal="left" vertical="center" wrapText="1"/>
    </xf>
    <xf numFmtId="0" fontId="2" fillId="0" borderId="0" xfId="0" applyFont="1" applyAlignment="1">
      <alignment horizontal="center" vertical="center"/>
    </xf>
    <xf numFmtId="0" fontId="5" fillId="0" borderId="0" xfId="0" applyFont="1" applyAlignment="1">
      <alignment vertical="center" wrapText="1"/>
    </xf>
    <xf numFmtId="0" fontId="6" fillId="0" borderId="0" xfId="0" applyFont="1" applyAlignment="1">
      <alignment horizontal="left" vertical="center" wrapText="1"/>
    </xf>
    <xf numFmtId="0" fontId="6" fillId="0" borderId="0" xfId="0" applyFont="1" applyAlignment="1">
      <alignment horizontal="center" vertical="center" wrapText="1"/>
    </xf>
    <xf numFmtId="0" fontId="9" fillId="2" borderId="0" xfId="0" applyFont="1" applyFill="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10" fillId="2" borderId="0" xfId="0" applyFont="1" applyFill="1" applyAlignment="1">
      <alignment horizontal="center"/>
    </xf>
    <xf numFmtId="0" fontId="0" fillId="0" borderId="0" xfId="0" applyAlignment="1">
      <alignment vertical="center" wrapText="1"/>
    </xf>
    <xf numFmtId="0" fontId="11" fillId="2" borderId="0" xfId="0" applyFont="1" applyFill="1"/>
    <xf numFmtId="0" fontId="12" fillId="4" borderId="11" xfId="0" applyFont="1" applyFill="1" applyBorder="1" applyAlignment="1">
      <alignment vertical="top" wrapText="1"/>
    </xf>
    <xf numFmtId="0" fontId="12" fillId="4" borderId="11" xfId="0" applyFont="1" applyFill="1" applyBorder="1" applyAlignment="1">
      <alignment horizontal="center" vertical="center"/>
    </xf>
    <xf numFmtId="0" fontId="2" fillId="0" borderId="0" xfId="0" applyFont="1" applyAlignment="1">
      <alignment horizontal="center" wrapText="1"/>
    </xf>
    <xf numFmtId="0" fontId="0" fillId="0" borderId="0" xfId="0" applyFont="1" applyAlignment="1">
      <alignment horizontal="center" vertical="center" wrapText="1"/>
    </xf>
    <xf numFmtId="0" fontId="0" fillId="0" borderId="0" xfId="0" applyFont="1" applyAlignment="1">
      <alignment horizontal="left" vertical="center" wrapText="1"/>
    </xf>
    <xf numFmtId="0" fontId="13" fillId="0" borderId="0" xfId="0" applyFont="1" applyAlignment="1">
      <alignment horizontal="center" wrapText="1"/>
    </xf>
    <xf numFmtId="0" fontId="3" fillId="0" borderId="0" xfId="0" applyFont="1" applyAlignment="1">
      <alignment vertical="center" wrapText="1"/>
    </xf>
    <xf numFmtId="0" fontId="13" fillId="0" borderId="0" xfId="0" applyFont="1"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0" fontId="3" fillId="0" borderId="12" xfId="0" applyFont="1" applyBorder="1" applyAlignment="1">
      <alignment horizontal="center" vertical="center"/>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3" fillId="0" borderId="15" xfId="0" applyFont="1" applyBorder="1" applyAlignment="1">
      <alignment horizontal="center" vertical="center"/>
    </xf>
    <xf numFmtId="0" fontId="14" fillId="0" borderId="16" xfId="0" applyFont="1" applyBorder="1" applyAlignment="1">
      <alignment horizontal="center" vertical="center" wrapText="1"/>
    </xf>
    <xf numFmtId="0" fontId="14" fillId="0" borderId="17" xfId="0" applyFon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50">
    <dxf>
      <alignment horizontal="center" vertical="center"/>
    </dxf>
    <dxf>
      <alignment horizontal="center" vertical="center"/>
    </dxf>
    <dxf>
      <alignment horizontal="center" vertical="center"/>
    </dxf>
    <dxf>
      <fill>
        <patternFill patternType="solid">
          <bgColor theme="0"/>
        </patternFill>
      </fill>
      <alignment horizontal="center" vertical="center"/>
    </dxf>
    <dxf>
      <fill>
        <patternFill patternType="solid">
          <bgColor theme="0"/>
        </patternFill>
      </fill>
      <alignment horizontal="center" vertical="center"/>
    </dxf>
    <dxf>
      <font>
        <b val="1"/>
      </font>
      <alignment vertical="center" wrapText="1"/>
    </dxf>
    <dxf>
      <alignment vertical="center" wrapText="1"/>
    </dxf>
    <dxf>
      <alignment vertical="center" wrapText="1"/>
    </dxf>
    <dxf>
      <alignment vertical="center" wrapText="1"/>
    </dxf>
    <dxf>
      <alignment vertical="center" wrapText="1"/>
    </dxf>
    <dxf>
      <alignment vertical="center" wrapText="1"/>
    </dxf>
    <dxf>
      <font>
        <name val="Calibri"/>
        <scheme val="none"/>
        <strike val="0"/>
        <u val="none"/>
        <sz val="11"/>
        <color theme="1"/>
      </font>
      <alignment horizontal="center" vertical="center" wrapText="1"/>
    </dxf>
    <dxf>
      <font>
        <name val="Calibri"/>
        <scheme val="none"/>
        <strike val="0"/>
        <u val="none"/>
        <sz val="11"/>
        <color theme="1"/>
      </font>
      <alignment horizontal="center" vertical="center" wrapText="1"/>
    </dxf>
    <dxf>
      <font>
        <name val="Calibri"/>
        <scheme val="none"/>
        <strike val="0"/>
        <u val="none"/>
        <sz val="11"/>
        <color theme="1"/>
      </font>
      <alignment horizontal="left" vertical="center" wrapText="1"/>
    </dxf>
    <dxf>
      <alignment horizontal="center" vertical="center" wrapText="1"/>
    </dxf>
    <dxf>
      <alignment vertical="center" wrapText="1"/>
    </dxf>
    <dxf>
      <alignment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left" vertical="center" wrapText="1"/>
    </dxf>
    <dxf>
      <alignment horizontal="left"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font>
        <name val="Calibri"/>
        <scheme val="none"/>
        <strike val="0"/>
        <u val="none"/>
        <sz val="11"/>
        <color theme="1"/>
      </font>
      <alignment vertical="center" wrapText="1"/>
    </dxf>
    <dxf>
      <font>
        <name val="Calibri"/>
        <scheme val="none"/>
        <strike val="0"/>
        <u val="none"/>
        <sz val="11"/>
        <color theme="1"/>
      </font>
      <alignment vertical="center" wrapText="1"/>
    </dxf>
    <dxf>
      <font>
        <name val="Calibri"/>
        <scheme val="none"/>
        <strike val="0"/>
        <u val="none"/>
        <sz val="11"/>
        <color theme="1"/>
      </font>
      <alignment vertical="center" wrapText="1"/>
    </dxf>
    <dxf>
      <font>
        <name val="Calibri"/>
        <scheme val="none"/>
        <strike val="0"/>
        <u val="none"/>
        <sz val="11"/>
        <color theme="1"/>
      </font>
      <numFmt numFmtId="0" formatCode="General"/>
      <alignment vertical="center" wrapText="1"/>
    </dxf>
    <dxf>
      <font>
        <name val="Calibri"/>
        <scheme val="none"/>
        <strike val="0"/>
        <u val="none"/>
        <sz val="11"/>
        <color theme="1"/>
      </font>
      <alignment vertical="center" wrapText="1"/>
    </dxf>
    <dxf>
      <font>
        <name val="Calibri"/>
        <scheme val="none"/>
        <strike val="0"/>
        <u val="none"/>
        <sz val="11"/>
        <color theme="1"/>
      </font>
      <alignment vertical="center" wrapText="1"/>
    </dxf>
    <dxf>
      <font>
        <name val="Calibri"/>
        <scheme val="none"/>
        <strike val="0"/>
        <u val="none"/>
        <sz val="11"/>
        <color theme="1"/>
      </font>
      <alignment horizontal="center" vertical="center"/>
    </dxf>
    <dxf>
      <font>
        <name val="Calibri"/>
        <scheme val="none"/>
        <strike val="0"/>
        <u val="none"/>
        <sz val="11"/>
        <color theme="1"/>
      </font>
      <alignment horizontal="center" vertical="center"/>
    </dxf>
    <dxf>
      <font>
        <name val="Calibri"/>
        <scheme val="none"/>
        <strike val="0"/>
        <u val="none"/>
        <sz val="11"/>
        <color theme="1"/>
      </font>
    </dxf>
    <dxf>
      <font>
        <name val="Calibri"/>
        <scheme val="none"/>
        <strike val="0"/>
        <u val="none"/>
        <sz val="11"/>
        <color theme="1"/>
      </font>
      <alignment horizontal="center" vertical="center"/>
    </dxf>
    <dxf>
      <font>
        <name val="Calibri"/>
        <scheme val="none"/>
        <strike val="0"/>
        <u val="none"/>
        <sz val="11"/>
        <color theme="1"/>
      </font>
      <alignment horizontal="center" vertical="center"/>
    </dxf>
    <dxf>
      <font>
        <name val="Calibri"/>
        <scheme val="none"/>
        <strike val="0"/>
        <u val="none"/>
        <sz val="11"/>
        <color theme="1"/>
      </font>
      <alignment horizontal="center" vertical="center"/>
    </dxf>
    <dxf>
      <font>
        <name val="Calibri"/>
        <scheme val="none"/>
        <strike val="0"/>
        <u val="none"/>
        <sz val="11"/>
        <color theme="1"/>
      </font>
      <alignment horizontal="center" vertical="center"/>
    </dxf>
    <dxf>
      <font>
        <name val="Calibri"/>
        <scheme val="none"/>
        <strike val="0"/>
        <u val="none"/>
        <sz val="11"/>
        <color theme="1"/>
      </font>
      <alignment horizontal="center" vertical="center"/>
    </dxf>
    <dxf>
      <font>
        <name val="Calibri"/>
        <scheme val="none"/>
        <b val="1"/>
        <strike val="0"/>
        <u val="none"/>
        <sz val="11"/>
        <color theme="1"/>
      </font>
      <alignment horizontal="center" vertical="center"/>
      <border>
        <left/>
        <right style="thin">
          <color auto="1"/>
        </right>
        <top/>
        <bottom/>
      </border>
    </dxf>
    <dxf>
      <font>
        <name val="Calibri"/>
        <scheme val="none"/>
        <strike val="0"/>
        <u val="none"/>
        <sz val="11"/>
        <color theme="1"/>
      </font>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0BEC5"/>
      <rgbColor rgb="00808080"/>
      <rgbColor rgb="009999FF"/>
      <rgbColor rgb="00993366"/>
      <rgbColor rgb="00FFF2CC"/>
      <rgbColor rgb="00CCFFFF"/>
      <rgbColor rgb="00660066"/>
      <rgbColor rgb="00FF8080"/>
      <rgbColor rgb="000066CC"/>
      <rgbColor rgb="00FCE4EC"/>
      <rgbColor rgb="00000080"/>
      <rgbColor rgb="00FF00FF"/>
      <rgbColor rgb="00FFFF00"/>
      <rgbColor rgb="0000FFFF"/>
      <rgbColor rgb="00800080"/>
      <rgbColor rgb="00800000"/>
      <rgbColor rgb="00008080"/>
      <rgbColor rgb="000000FF"/>
      <rgbColor rgb="0000CCFF"/>
      <rgbColor rgb="00CCFFFF"/>
      <rgbColor rgb="00D9EAD3"/>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2F5496"/>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E6" totalsRowShown="0">
  <autoFilter xmlns:etc="http://www.wps.cn/officeDocument/2017/etCustomData" ref="A1:E6" etc:filterBottomFollowUsedRange="0">
    <filterColumn colId="0" hiddenButton="1"/>
    <filterColumn colId="1" hiddenButton="1"/>
    <filterColumn colId="2" hiddenButton="1"/>
    <filterColumn colId="3" hiddenButton="1"/>
    <filterColumn colId="4" hiddenButton="1"/>
  </autoFilter>
  <tableColumns count="5">
    <tableColumn id="1" name="Evaluator ID" dataDxfId="0"/>
    <tableColumn id="2" name="Qualification / Expertise" dataDxfId="1"/>
    <tableColumn id="3" name="Years of BI Experience" dataDxfId="2"/>
    <tableColumn id="4" name="Affiliation" dataDxfId="3"/>
    <tableColumn id="5" name="Role" dataDxfId="4"/>
  </tableColumns>
  <tableStyleInfo name="TableStyleMedium15" showFirstColumn="0" showLastColumn="0" showRowStripes="1" showColumnStripes="0"/>
</table>
</file>

<file path=xl/tables/table2.xml><?xml version="1.0" encoding="utf-8"?>
<table xmlns="http://schemas.openxmlformats.org/spreadsheetml/2006/main" id="4" name="Table4" displayName="Table4" ref="A1:F11" totalsRowShown="0">
  <autoFilter xmlns:etc="http://www.wps.cn/officeDocument/2017/etCustomData" ref="A1:F11" etc:filterBottomFollowUsedRange="0">
    <filterColumn colId="0" hiddenButton="1"/>
    <filterColumn colId="1" hiddenButton="1"/>
    <filterColumn colId="2" hiddenButton="1"/>
    <filterColumn colId="3" hiddenButton="1"/>
    <filterColumn colId="4" hiddenButton="1"/>
    <filterColumn colId="5" hiddenButton="1"/>
  </autoFilter>
  <tableColumns count="6">
    <tableColumn id="1" name="Evaluation Dimension" dataDxfId="5"/>
    <tableColumn id="2" name="1 (Very Limited)" dataDxfId="6"/>
    <tableColumn id="3" name="2 (Basic Support)" dataDxfId="7"/>
    <tableColumn id="4" name="3 (Adequate)" dataDxfId="8"/>
    <tableColumn id="5" name="4 (Strong Support)" dataDxfId="9"/>
    <tableColumn id="6" name="5 (Comprehensive)" dataDxfId="10"/>
  </tableColumns>
  <tableStyleInfo name="TableStyleMedium15" showFirstColumn="0" showLastColumn="0" showRowStripes="1" showColumnStripes="0"/>
</table>
</file>

<file path=xl/tables/table3.xml><?xml version="1.0" encoding="utf-8"?>
<table xmlns="http://schemas.openxmlformats.org/spreadsheetml/2006/main" id="5" name="Table5" displayName="Table5" ref="A1:C6" totalsRowShown="0">
  <autoFilter xmlns:etc="http://www.wps.cn/officeDocument/2017/etCustomData" ref="A1:C6" etc:filterBottomFollowUsedRange="0">
    <filterColumn colId="0" hiddenButton="1"/>
    <filterColumn colId="1" hiddenButton="1"/>
    <filterColumn colId="2" hiddenButton="1"/>
  </autoFilter>
  <tableColumns count="3">
    <tableColumn id="1" name="Score" dataDxfId="11"/>
    <tableColumn id="2" name="Label" dataDxfId="12"/>
    <tableColumn id="3" name="General Interpretation" dataDxfId="13"/>
  </tableColumns>
  <tableStyleInfo name="TableStyleMedium15" showFirstColumn="0" showLastColumn="0" showRowStripes="1" showColumnStripes="0"/>
</table>
</file>

<file path=xl/tables/table4.xml><?xml version="1.0" encoding="utf-8"?>
<table xmlns="http://schemas.openxmlformats.org/spreadsheetml/2006/main" id="6" name="Table6" displayName="Table6" ref="A1:J11" totalsRowShown="0">
  <autoFilter xmlns:etc="http://www.wps.cn/officeDocument/2017/etCustomData" ref="A1:J11" etc:filterBottomFollowUsedRang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name="Target ID" dataDxfId="14"/>
    <tableColumn id="3" name="Evaluation Dimension" dataDxfId="15"/>
    <tableColumn id="4" name="Assessment Criteria" dataDxfId="16"/>
    <tableColumn id="5" name="E1" dataDxfId="17"/>
    <tableColumn id="6" name="E2" dataDxfId="18"/>
    <tableColumn id="7" name="E3" dataDxfId="19"/>
    <tableColumn id="8" name="E4" dataDxfId="20"/>
    <tableColumn id="9" name="E5" dataDxfId="21"/>
    <tableColumn id="10" name="Mean" dataDxfId="22">
      <calculatedColumnFormula>AVERAGE(D2:H2)</calculatedColumnFormula>
    </tableColumn>
    <tableColumn id="11" name="Std Dev" dataDxfId="23">
      <calculatedColumnFormula>STDEV(D2:H2)</calculatedColumnFormula>
    </tableColumn>
  </tableColumns>
  <tableStyleInfo name="TableStyleMedium15" showFirstColumn="0" showLastColumn="0" showRowStripes="1" showColumnStripes="0"/>
</table>
</file>

<file path=xl/tables/table5.xml><?xml version="1.0" encoding="utf-8"?>
<table xmlns="http://schemas.openxmlformats.org/spreadsheetml/2006/main" id="7" name="Table7" displayName="Table7" ref="A1:J11" totalsRowShown="0">
  <autoFilter xmlns:etc="http://www.wps.cn/officeDocument/2017/etCustomData" ref="A1:J11" etc:filterBottomFollowUsedRang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name="Target ID" dataDxfId="24"/>
    <tableColumn id="2" name="Evaluation Dimension" dataDxfId="25"/>
    <tableColumn id="3" name="Assessment Criteria" dataDxfId="26"/>
    <tableColumn id="4" name="E1" dataDxfId="27"/>
    <tableColumn id="5" name="E2" dataDxfId="28"/>
    <tableColumn id="6" name="E3" dataDxfId="29"/>
    <tableColumn id="7" name="E4" dataDxfId="30"/>
    <tableColumn id="8" name="E5" dataDxfId="31"/>
    <tableColumn id="9" name="Mean" dataDxfId="32">
      <calculatedColumnFormula>AVERAGE(D2:H2)</calculatedColumnFormula>
    </tableColumn>
    <tableColumn id="10" name="Std Dev" dataDxfId="33">
      <calculatedColumnFormula>STDEV(D2:H2)</calculatedColumnFormula>
    </tableColumn>
  </tableColumns>
  <tableStyleInfo name="TableStyleMedium15" showFirstColumn="0" showLastColumn="0" showRowStripes="1" showColumnStripes="0"/>
</table>
</file>

<file path=xl/tables/table6.xml><?xml version="1.0" encoding="utf-8"?>
<table xmlns="http://schemas.openxmlformats.org/spreadsheetml/2006/main" id="8" name="Table8" displayName="Table8" ref="A1:F12" totalsRowShown="0">
  <autoFilter xmlns:etc="http://www.wps.cn/officeDocument/2017/etCustomData" ref="A1:F12" etc:filterBottomFollowUsedRange="0">
    <filterColumn colId="0" hiddenButton="1"/>
    <filterColumn colId="1" hiddenButton="1"/>
    <filterColumn colId="2" hiddenButton="1"/>
    <filterColumn colId="3" hiddenButton="1"/>
    <filterColumn colId="4" hiddenButton="1"/>
    <filterColumn colId="5" hiddenButton="1"/>
  </autoFilter>
  <tableColumns count="6">
    <tableColumn id="1" name="Evaluation Dimension" dataDxfId="34"/>
    <tableColumn id="2" name="Assessment Criteria" dataDxfId="35"/>
    <tableColumn id="3" name="PBI Mean" dataDxfId="36"/>
    <tableColumn id="4" name="PBI SD" dataDxfId="37"/>
    <tableColumn id="5" name="GDS Mean" dataDxfId="38"/>
    <tableColumn id="6" name="GDS SD" dataDxfId="39"/>
  </tableColumns>
  <tableStyleInfo name="TableStyleMedium15" showFirstColumn="0" showLastColumn="0" showRowStripes="1" showColumnStripes="0"/>
</table>
</file>

<file path=xl/tables/table7.xml><?xml version="1.0" encoding="utf-8"?>
<table xmlns="http://schemas.openxmlformats.org/spreadsheetml/2006/main" id="9" name="Table9" displayName="Table9" ref="A1:H21" totalsRowShown="0">
  <autoFilter xmlns:etc="http://www.wps.cn/officeDocument/2017/etCustomData" ref="A1:H21" etc:filterBottomFollowUsedRange="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Target ID" dataDxfId="40"/>
    <tableColumn id="3" name="Platform" dataDxfId="41"/>
    <tableColumn id="4" name="Dimension" dataDxfId="42"/>
    <tableColumn id="5" name="E1" dataDxfId="43"/>
    <tableColumn id="6" name="E2" dataDxfId="44"/>
    <tableColumn id="7" name="E3" dataDxfId="45"/>
    <tableColumn id="8" name="E4" dataDxfId="46"/>
    <tableColumn id="9" name="E5" dataDxfId="47"/>
  </tableColumns>
  <tableStyleInfo name="TableStyleMedium15" showFirstColumn="0" showLastColumn="0" showRowStripes="1" showColumnStripes="0"/>
</table>
</file>

<file path=xl/tables/table8.xml><?xml version="1.0" encoding="utf-8"?>
<table xmlns="http://schemas.openxmlformats.org/spreadsheetml/2006/main" id="11" name="Table11" displayName="Table11" ref="A2:B17" totalsRowShown="0">
  <autoFilter xmlns:etc="http://www.wps.cn/officeDocument/2017/etCustomData" ref="A2:B17" etc:filterBottomFollowUsedRange="0">
    <filterColumn colId="0" hiddenButton="1"/>
    <filterColumn colId="1" hiddenButton="1"/>
  </autoFilter>
  <tableColumns count="2">
    <tableColumn id="1" name="Measure" dataDxfId="48"/>
    <tableColumn id="2" name="Value" dataDxfId="49"/>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zoomScale="115" zoomScaleNormal="115" workbookViewId="0">
      <selection activeCell="A1" sqref="A1:E1"/>
    </sheetView>
  </sheetViews>
  <sheetFormatPr defaultColWidth="8.63636363636364" defaultRowHeight="14.5" outlineLevelCol="4"/>
  <cols>
    <col min="1" max="1" width="14" customWidth="1"/>
    <col min="2" max="2" width="26.1818181818182" customWidth="1"/>
    <col min="3" max="3" width="22" customWidth="1"/>
    <col min="4" max="4" width="43" customWidth="1"/>
    <col min="5" max="5" width="30" customWidth="1"/>
  </cols>
  <sheetData>
    <row r="1" ht="15.5" spans="1:5">
      <c r="A1" s="42" t="s">
        <v>0</v>
      </c>
      <c r="B1" s="42" t="s">
        <v>1</v>
      </c>
      <c r="C1" s="42" t="s">
        <v>2</v>
      </c>
      <c r="D1" s="42" t="s">
        <v>3</v>
      </c>
      <c r="E1" s="42" t="s">
        <v>4</v>
      </c>
    </row>
    <row r="2" spans="1:5">
      <c r="A2" s="43" t="s">
        <v>5</v>
      </c>
      <c r="B2" s="43" t="s">
        <v>6</v>
      </c>
      <c r="C2" s="43">
        <v>3</v>
      </c>
      <c r="D2" s="44" t="s">
        <v>7</v>
      </c>
      <c r="E2" s="44" t="s">
        <v>8</v>
      </c>
    </row>
    <row r="3" spans="1:5">
      <c r="A3" s="43" t="s">
        <v>9</v>
      </c>
      <c r="B3" s="43" t="s">
        <v>6</v>
      </c>
      <c r="C3" s="43">
        <v>2</v>
      </c>
      <c r="D3" s="45" t="s">
        <v>10</v>
      </c>
      <c r="E3" s="45" t="s">
        <v>11</v>
      </c>
    </row>
    <row r="4" spans="1:5">
      <c r="A4" s="43" t="s">
        <v>12</v>
      </c>
      <c r="B4" s="43" t="s">
        <v>13</v>
      </c>
      <c r="C4" s="43">
        <v>10</v>
      </c>
      <c r="D4" s="44" t="s">
        <v>7</v>
      </c>
      <c r="E4" s="44" t="s">
        <v>14</v>
      </c>
    </row>
    <row r="5" spans="1:5">
      <c r="A5" s="43" t="s">
        <v>15</v>
      </c>
      <c r="B5" s="43" t="s">
        <v>13</v>
      </c>
      <c r="C5" s="43">
        <v>3</v>
      </c>
      <c r="D5" s="45" t="s">
        <v>10</v>
      </c>
      <c r="E5" s="45" t="s">
        <v>16</v>
      </c>
    </row>
    <row r="6" spans="1:5">
      <c r="A6" s="43" t="s">
        <v>17</v>
      </c>
      <c r="B6" s="43" t="s">
        <v>18</v>
      </c>
      <c r="C6" s="43">
        <v>7</v>
      </c>
      <c r="D6" s="44" t="s">
        <v>10</v>
      </c>
      <c r="E6" s="44" t="s">
        <v>19</v>
      </c>
    </row>
    <row r="7" ht="15.25"/>
    <row r="8" customHeight="1" spans="1:5">
      <c r="A8" s="46" t="s">
        <v>20</v>
      </c>
      <c r="B8" s="47" t="s">
        <v>21</v>
      </c>
      <c r="C8" s="47"/>
      <c r="D8" s="47"/>
      <c r="E8" s="48"/>
    </row>
    <row r="9" ht="31" customHeight="1" spans="1:5">
      <c r="A9" s="49"/>
      <c r="B9" s="50"/>
      <c r="C9" s="50"/>
      <c r="D9" s="50"/>
      <c r="E9" s="51"/>
    </row>
  </sheetData>
  <mergeCells count="2">
    <mergeCell ref="A8:A9"/>
    <mergeCell ref="B8:E9"/>
  </mergeCells>
  <pageMargins left="0.75" right="0.75" top="1" bottom="1" header="0.511811023622047" footer="0.511811023622047"/>
  <pageSetup paperSize="9" orientation="portrait" horizontalDpi="300" verticalDpi="300"/>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zoomScale="75" zoomScaleNormal="75" workbookViewId="0">
      <selection activeCell="B2" sqref="B2:F2"/>
    </sheetView>
  </sheetViews>
  <sheetFormatPr defaultColWidth="8.63636363636364" defaultRowHeight="14.5" outlineLevelCol="5"/>
  <cols>
    <col min="1" max="1" width="28" customWidth="1"/>
    <col min="2" max="6" width="38" customWidth="1"/>
  </cols>
  <sheetData>
    <row r="1" ht="15.5" spans="1:6">
      <c r="A1" s="40" t="s">
        <v>22</v>
      </c>
      <c r="B1" s="40" t="s">
        <v>23</v>
      </c>
      <c r="C1" s="40" t="s">
        <v>24</v>
      </c>
      <c r="D1" s="40" t="s">
        <v>25</v>
      </c>
      <c r="E1" s="40" t="s">
        <v>26</v>
      </c>
      <c r="F1" s="40" t="s">
        <v>27</v>
      </c>
    </row>
    <row r="2" ht="58" spans="1:6">
      <c r="A2" s="41" t="s">
        <v>28</v>
      </c>
      <c r="B2" s="33" t="s">
        <v>29</v>
      </c>
      <c r="C2" s="33" t="s">
        <v>30</v>
      </c>
      <c r="D2" s="33" t="s">
        <v>31</v>
      </c>
      <c r="E2" s="33" t="s">
        <v>32</v>
      </c>
      <c r="F2" s="33" t="s">
        <v>33</v>
      </c>
    </row>
    <row r="3" ht="43.5" spans="1:6">
      <c r="A3" s="41" t="s">
        <v>34</v>
      </c>
      <c r="B3" s="33" t="s">
        <v>35</v>
      </c>
      <c r="C3" s="33" t="s">
        <v>36</v>
      </c>
      <c r="D3" s="33" t="s">
        <v>37</v>
      </c>
      <c r="E3" s="33" t="s">
        <v>38</v>
      </c>
      <c r="F3" s="33" t="s">
        <v>39</v>
      </c>
    </row>
    <row r="4" ht="58" spans="1:6">
      <c r="A4" s="41" t="s">
        <v>40</v>
      </c>
      <c r="B4" s="33" t="s">
        <v>41</v>
      </c>
      <c r="C4" s="33" t="s">
        <v>42</v>
      </c>
      <c r="D4" s="33" t="s">
        <v>43</v>
      </c>
      <c r="E4" s="33" t="s">
        <v>44</v>
      </c>
      <c r="F4" s="33" t="s">
        <v>45</v>
      </c>
    </row>
    <row r="5" ht="43.5" spans="1:6">
      <c r="A5" s="41" t="s">
        <v>46</v>
      </c>
      <c r="B5" s="33" t="s">
        <v>47</v>
      </c>
      <c r="C5" s="33" t="s">
        <v>48</v>
      </c>
      <c r="D5" s="33" t="s">
        <v>49</v>
      </c>
      <c r="E5" s="33" t="s">
        <v>50</v>
      </c>
      <c r="F5" s="33" t="s">
        <v>51</v>
      </c>
    </row>
    <row r="6" ht="43.5" spans="1:6">
      <c r="A6" s="41" t="s">
        <v>52</v>
      </c>
      <c r="B6" s="33" t="s">
        <v>53</v>
      </c>
      <c r="C6" s="33" t="s">
        <v>54</v>
      </c>
      <c r="D6" s="33" t="s">
        <v>55</v>
      </c>
      <c r="E6" s="33" t="s">
        <v>56</v>
      </c>
      <c r="F6" s="33" t="s">
        <v>57</v>
      </c>
    </row>
    <row r="7" ht="43.5" spans="1:6">
      <c r="A7" s="41" t="s">
        <v>58</v>
      </c>
      <c r="B7" s="33" t="s">
        <v>59</v>
      </c>
      <c r="C7" s="33" t="s">
        <v>60</v>
      </c>
      <c r="D7" s="33" t="s">
        <v>61</v>
      </c>
      <c r="E7" s="33" t="s">
        <v>62</v>
      </c>
      <c r="F7" s="33" t="s">
        <v>63</v>
      </c>
    </row>
    <row r="8" ht="58" spans="1:6">
      <c r="A8" s="41" t="s">
        <v>64</v>
      </c>
      <c r="B8" s="33" t="s">
        <v>65</v>
      </c>
      <c r="C8" s="33" t="s">
        <v>66</v>
      </c>
      <c r="D8" s="33" t="s">
        <v>67</v>
      </c>
      <c r="E8" s="33" t="s">
        <v>68</v>
      </c>
      <c r="F8" s="33" t="s">
        <v>69</v>
      </c>
    </row>
    <row r="9" ht="43.5" spans="1:6">
      <c r="A9" s="41" t="s">
        <v>70</v>
      </c>
      <c r="B9" s="33" t="s">
        <v>71</v>
      </c>
      <c r="C9" s="33" t="s">
        <v>72</v>
      </c>
      <c r="D9" s="33" t="s">
        <v>73</v>
      </c>
      <c r="E9" s="33" t="s">
        <v>74</v>
      </c>
      <c r="F9" s="33" t="s">
        <v>75</v>
      </c>
    </row>
    <row r="10" ht="58" spans="1:6">
      <c r="A10" s="41" t="s">
        <v>76</v>
      </c>
      <c r="B10" s="33" t="s">
        <v>77</v>
      </c>
      <c r="C10" s="33" t="s">
        <v>78</v>
      </c>
      <c r="D10" s="33" t="s">
        <v>79</v>
      </c>
      <c r="E10" s="33" t="s">
        <v>80</v>
      </c>
      <c r="F10" s="33" t="s">
        <v>81</v>
      </c>
    </row>
    <row r="11" ht="43.5" spans="1:6">
      <c r="A11" s="41" t="s">
        <v>82</v>
      </c>
      <c r="B11" s="33" t="s">
        <v>83</v>
      </c>
      <c r="C11" s="33" t="s">
        <v>84</v>
      </c>
      <c r="D11" s="33" t="s">
        <v>85</v>
      </c>
      <c r="E11" s="33" t="s">
        <v>86</v>
      </c>
      <c r="F11" s="33" t="s">
        <v>87</v>
      </c>
    </row>
  </sheetData>
  <pageMargins left="0.75" right="0.75" top="1" bottom="1" header="0.511811023622047" footer="0.511811023622047"/>
  <pageSetup paperSize="9" orientation="portrait" horizontalDpi="300" verticalDpi="300"/>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workbookViewId="0">
      <selection activeCell="D12" sqref="D12"/>
    </sheetView>
  </sheetViews>
  <sheetFormatPr defaultColWidth="8.63636363636364" defaultRowHeight="14.5" outlineLevelRow="5" outlineLevelCol="2"/>
  <cols>
    <col min="1" max="1" width="10" customWidth="1"/>
    <col min="2" max="2" width="18" customWidth="1"/>
    <col min="3" max="3" width="80" customWidth="1"/>
  </cols>
  <sheetData>
    <row r="1" ht="15.5" spans="1:3">
      <c r="A1" s="37" t="s">
        <v>88</v>
      </c>
      <c r="B1" s="37" t="s">
        <v>89</v>
      </c>
      <c r="C1" s="37" t="s">
        <v>90</v>
      </c>
    </row>
    <row r="2" ht="29" spans="1:3">
      <c r="A2" s="38">
        <v>1</v>
      </c>
      <c r="B2" s="38" t="s">
        <v>91</v>
      </c>
      <c r="C2" s="39" t="s">
        <v>92</v>
      </c>
    </row>
    <row r="3" ht="29" spans="1:3">
      <c r="A3" s="38">
        <v>2</v>
      </c>
      <c r="B3" s="38" t="s">
        <v>93</v>
      </c>
      <c r="C3" s="39" t="s">
        <v>94</v>
      </c>
    </row>
    <row r="4" ht="29" spans="1:3">
      <c r="A4" s="38">
        <v>3</v>
      </c>
      <c r="B4" s="38" t="s">
        <v>95</v>
      </c>
      <c r="C4" s="39" t="s">
        <v>96</v>
      </c>
    </row>
    <row r="5" ht="29" spans="1:3">
      <c r="A5" s="38">
        <v>4</v>
      </c>
      <c r="B5" s="38" t="s">
        <v>97</v>
      </c>
      <c r="C5" s="39" t="s">
        <v>98</v>
      </c>
    </row>
    <row r="6" ht="29" spans="1:3">
      <c r="A6" s="38">
        <v>5</v>
      </c>
      <c r="B6" s="38" t="s">
        <v>99</v>
      </c>
      <c r="C6" s="39" t="s">
        <v>100</v>
      </c>
    </row>
  </sheetData>
  <pageMargins left="0.75" right="0.75" top="1" bottom="1" header="0.511811023622047" footer="0.511811023622047"/>
  <pageSetup paperSize="9" orientation="portrait" horizontalDpi="300" verticalDpi="300"/>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zoomScale="80" zoomScaleNormal="80" workbookViewId="0">
      <selection activeCell="J12" sqref="J12"/>
    </sheetView>
  </sheetViews>
  <sheetFormatPr defaultColWidth="8.63636363636364" defaultRowHeight="14.5"/>
  <cols>
    <col min="1" max="1" width="10.4545454545455" customWidth="1"/>
    <col min="2" max="2" width="32" customWidth="1"/>
    <col min="3" max="3" width="51.9090909090909" customWidth="1"/>
    <col min="4" max="8" width="8" customWidth="1"/>
    <col min="9" max="10" width="10" customWidth="1"/>
  </cols>
  <sheetData>
    <row r="1" ht="15.5" spans="1:10">
      <c r="A1" s="24" t="s">
        <v>101</v>
      </c>
      <c r="B1" s="24" t="s">
        <v>22</v>
      </c>
      <c r="C1" s="24" t="s">
        <v>102</v>
      </c>
      <c r="D1" s="24" t="s">
        <v>5</v>
      </c>
      <c r="E1" s="24" t="s">
        <v>9</v>
      </c>
      <c r="F1" s="24" t="s">
        <v>12</v>
      </c>
      <c r="G1" s="24" t="s">
        <v>15</v>
      </c>
      <c r="H1" s="24" t="s">
        <v>17</v>
      </c>
      <c r="I1" s="24" t="s">
        <v>103</v>
      </c>
      <c r="J1" s="24" t="s">
        <v>104</v>
      </c>
    </row>
    <row r="2" ht="43.5" spans="1:10">
      <c r="A2" s="30" t="s">
        <v>105</v>
      </c>
      <c r="B2" s="33" t="s">
        <v>28</v>
      </c>
      <c r="C2" s="33" t="s">
        <v>106</v>
      </c>
      <c r="D2" s="30">
        <v>3</v>
      </c>
      <c r="E2" s="30">
        <v>4</v>
      </c>
      <c r="F2" s="30">
        <v>3</v>
      </c>
      <c r="G2" s="30">
        <v>3</v>
      </c>
      <c r="H2" s="30">
        <v>4</v>
      </c>
      <c r="I2" s="30">
        <f t="shared" ref="I2:I12" si="0">AVERAGE(D2:H2)</f>
        <v>3.4</v>
      </c>
      <c r="J2" s="30">
        <f t="shared" ref="J2:J11" si="1">STDEV(D2:H2)</f>
        <v>0.547722557505166</v>
      </c>
    </row>
    <row r="3" ht="29" spans="1:10">
      <c r="A3" s="30" t="s">
        <v>107</v>
      </c>
      <c r="B3" s="33" t="s">
        <v>34</v>
      </c>
      <c r="C3" s="33" t="s">
        <v>108</v>
      </c>
      <c r="D3" s="30">
        <v>5</v>
      </c>
      <c r="E3" s="30">
        <v>4</v>
      </c>
      <c r="F3" s="30">
        <v>5</v>
      </c>
      <c r="G3" s="30">
        <v>4</v>
      </c>
      <c r="H3" s="30">
        <v>5</v>
      </c>
      <c r="I3" s="30">
        <f t="shared" si="0"/>
        <v>4.6</v>
      </c>
      <c r="J3" s="30">
        <f t="shared" si="1"/>
        <v>0.547722557505166</v>
      </c>
    </row>
    <row r="4" ht="29" spans="1:10">
      <c r="A4" s="30" t="s">
        <v>109</v>
      </c>
      <c r="B4" s="33" t="s">
        <v>40</v>
      </c>
      <c r="C4" s="33" t="s">
        <v>110</v>
      </c>
      <c r="D4" s="30">
        <v>3</v>
      </c>
      <c r="E4" s="30">
        <v>2</v>
      </c>
      <c r="F4" s="30">
        <v>4</v>
      </c>
      <c r="G4" s="30">
        <v>3</v>
      </c>
      <c r="H4" s="30">
        <v>4</v>
      </c>
      <c r="I4" s="30">
        <f t="shared" si="0"/>
        <v>3.2</v>
      </c>
      <c r="J4" s="30">
        <f t="shared" si="1"/>
        <v>0.836660026534076</v>
      </c>
    </row>
    <row r="5" ht="29" spans="1:10">
      <c r="A5" s="30" t="s">
        <v>111</v>
      </c>
      <c r="B5" s="33" t="s">
        <v>46</v>
      </c>
      <c r="C5" s="33" t="s">
        <v>112</v>
      </c>
      <c r="D5" s="30">
        <v>4</v>
      </c>
      <c r="E5" s="30">
        <v>5</v>
      </c>
      <c r="F5" s="30">
        <v>5</v>
      </c>
      <c r="G5" s="30">
        <v>5</v>
      </c>
      <c r="H5" s="30">
        <v>5</v>
      </c>
      <c r="I5" s="30">
        <f t="shared" si="0"/>
        <v>4.8</v>
      </c>
      <c r="J5" s="30">
        <f t="shared" si="1"/>
        <v>0.447213595499958</v>
      </c>
    </row>
    <row r="6" ht="29" spans="1:10">
      <c r="A6" s="30" t="s">
        <v>113</v>
      </c>
      <c r="B6" s="33" t="s">
        <v>52</v>
      </c>
      <c r="C6" s="33" t="s">
        <v>114</v>
      </c>
      <c r="D6" s="30">
        <v>5</v>
      </c>
      <c r="E6" s="30">
        <v>5</v>
      </c>
      <c r="F6" s="30">
        <v>4</v>
      </c>
      <c r="G6" s="30">
        <v>5</v>
      </c>
      <c r="H6" s="30">
        <v>4</v>
      </c>
      <c r="I6" s="30">
        <f t="shared" si="0"/>
        <v>4.6</v>
      </c>
      <c r="J6" s="30">
        <f t="shared" si="1"/>
        <v>0.547722557505166</v>
      </c>
    </row>
    <row r="7" ht="29" spans="1:10">
      <c r="A7" s="30" t="s">
        <v>115</v>
      </c>
      <c r="B7" s="33" t="s">
        <v>58</v>
      </c>
      <c r="C7" s="33" t="s">
        <v>116</v>
      </c>
      <c r="D7" s="30">
        <v>4</v>
      </c>
      <c r="E7" s="30">
        <v>4</v>
      </c>
      <c r="F7" s="30">
        <v>4</v>
      </c>
      <c r="G7" s="30">
        <v>5</v>
      </c>
      <c r="H7" s="30">
        <v>4</v>
      </c>
      <c r="I7" s="30">
        <f t="shared" si="0"/>
        <v>4.2</v>
      </c>
      <c r="J7" s="30">
        <f t="shared" si="1"/>
        <v>0.447213595499958</v>
      </c>
    </row>
    <row r="8" ht="29" spans="1:10">
      <c r="A8" s="30" t="s">
        <v>117</v>
      </c>
      <c r="B8" s="33" t="s">
        <v>64</v>
      </c>
      <c r="C8" s="33" t="s">
        <v>118</v>
      </c>
      <c r="D8" s="30">
        <v>3</v>
      </c>
      <c r="E8" s="30">
        <v>2</v>
      </c>
      <c r="F8" s="30">
        <v>3</v>
      </c>
      <c r="G8" s="30">
        <v>4</v>
      </c>
      <c r="H8" s="30">
        <v>3</v>
      </c>
      <c r="I8" s="30">
        <f t="shared" si="0"/>
        <v>3</v>
      </c>
      <c r="J8" s="30">
        <f t="shared" si="1"/>
        <v>0.707106781186548</v>
      </c>
    </row>
    <row r="9" ht="29" spans="1:10">
      <c r="A9" s="30" t="s">
        <v>119</v>
      </c>
      <c r="B9" s="33" t="s">
        <v>70</v>
      </c>
      <c r="C9" s="33" t="s">
        <v>120</v>
      </c>
      <c r="D9" s="30">
        <v>5</v>
      </c>
      <c r="E9" s="30">
        <v>5</v>
      </c>
      <c r="F9" s="30">
        <v>4</v>
      </c>
      <c r="G9" s="30">
        <v>5</v>
      </c>
      <c r="H9" s="30">
        <v>5</v>
      </c>
      <c r="I9" s="30">
        <f t="shared" si="0"/>
        <v>4.8</v>
      </c>
      <c r="J9" s="30">
        <f t="shared" si="1"/>
        <v>0.447213595499958</v>
      </c>
    </row>
    <row r="10" ht="29" spans="1:10">
      <c r="A10" s="30" t="s">
        <v>121</v>
      </c>
      <c r="B10" s="33" t="s">
        <v>76</v>
      </c>
      <c r="C10" s="33" t="s">
        <v>122</v>
      </c>
      <c r="D10" s="30">
        <v>5</v>
      </c>
      <c r="E10" s="30">
        <v>4</v>
      </c>
      <c r="F10" s="30">
        <v>5</v>
      </c>
      <c r="G10" s="30">
        <v>5</v>
      </c>
      <c r="H10" s="30">
        <v>4</v>
      </c>
      <c r="I10" s="30">
        <f t="shared" si="0"/>
        <v>4.6</v>
      </c>
      <c r="J10" s="30">
        <f t="shared" si="1"/>
        <v>0.547722557505166</v>
      </c>
    </row>
    <row r="11" ht="29" spans="1:10">
      <c r="A11" s="30" t="s">
        <v>123</v>
      </c>
      <c r="B11" s="33" t="s">
        <v>82</v>
      </c>
      <c r="C11" s="33" t="s">
        <v>124</v>
      </c>
      <c r="D11" s="30">
        <v>3</v>
      </c>
      <c r="E11" s="30">
        <v>2</v>
      </c>
      <c r="F11" s="30">
        <v>4</v>
      </c>
      <c r="G11" s="30">
        <v>3</v>
      </c>
      <c r="H11" s="30">
        <v>3</v>
      </c>
      <c r="I11" s="30">
        <f t="shared" si="0"/>
        <v>3</v>
      </c>
      <c r="J11" s="30">
        <f t="shared" si="1"/>
        <v>0.707106781186548</v>
      </c>
    </row>
    <row r="12" spans="1:10">
      <c r="A12" s="34"/>
      <c r="B12" s="35" t="s">
        <v>125</v>
      </c>
      <c r="C12" s="34"/>
      <c r="D12" s="36">
        <f>SUM(D2:D11)</f>
        <v>40</v>
      </c>
      <c r="E12" s="36">
        <f>SUM(E2:E11)</f>
        <v>37</v>
      </c>
      <c r="F12" s="36">
        <f>SUM(F2:F11)</f>
        <v>41</v>
      </c>
      <c r="G12" s="36">
        <f>SUM(G2:G11)</f>
        <v>42</v>
      </c>
      <c r="H12" s="36">
        <f>SUM(H2:H11)</f>
        <v>41</v>
      </c>
      <c r="I12" s="36">
        <f t="shared" si="0"/>
        <v>40.2</v>
      </c>
      <c r="J12" s="34"/>
    </row>
  </sheetData>
  <pageMargins left="0.75" right="0.75" top="1" bottom="1" header="0.511811023622047" footer="0.511811023622047"/>
  <pageSetup paperSize="9" orientation="portrait" horizontalDpi="300" verticalDpi="300"/>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zoomScale="79" zoomScaleNormal="79" workbookViewId="0">
      <selection activeCell="M5" sqref="M5"/>
    </sheetView>
  </sheetViews>
  <sheetFormatPr defaultColWidth="8.63636363636364" defaultRowHeight="14.5"/>
  <cols>
    <col min="1" max="1" width="10.2727272727273" customWidth="1"/>
    <col min="2" max="2" width="32" customWidth="1"/>
    <col min="3" max="3" width="50" customWidth="1"/>
    <col min="4" max="8" width="8" customWidth="1"/>
    <col min="9" max="10" width="10" customWidth="1"/>
  </cols>
  <sheetData>
    <row r="1" ht="15.5" spans="1:10">
      <c r="A1" s="29" t="s">
        <v>101</v>
      </c>
      <c r="B1" s="29" t="s">
        <v>22</v>
      </c>
      <c r="C1" s="29" t="s">
        <v>102</v>
      </c>
      <c r="D1" s="29" t="s">
        <v>5</v>
      </c>
      <c r="E1" s="29" t="s">
        <v>9</v>
      </c>
      <c r="F1" s="29" t="s">
        <v>12</v>
      </c>
      <c r="G1" s="29" t="s">
        <v>15</v>
      </c>
      <c r="H1" s="29" t="s">
        <v>17</v>
      </c>
      <c r="I1" s="29" t="s">
        <v>103</v>
      </c>
      <c r="J1" s="29" t="s">
        <v>104</v>
      </c>
    </row>
    <row r="2" ht="43.5" spans="1:10">
      <c r="A2" s="30" t="s">
        <v>126</v>
      </c>
      <c r="B2" s="31" t="s">
        <v>28</v>
      </c>
      <c r="C2" s="31" t="s">
        <v>106</v>
      </c>
      <c r="D2" s="30">
        <v>2</v>
      </c>
      <c r="E2" s="30">
        <v>3</v>
      </c>
      <c r="F2" s="30">
        <v>3</v>
      </c>
      <c r="G2" s="30">
        <v>2</v>
      </c>
      <c r="H2" s="30">
        <v>3</v>
      </c>
      <c r="I2" s="30">
        <f t="shared" ref="I2:I12" si="0">AVERAGE(D2:H2)</f>
        <v>2.6</v>
      </c>
      <c r="J2" s="30">
        <f t="shared" ref="J2:J11" si="1">STDEV(D2:H2)</f>
        <v>0.547722557505166</v>
      </c>
    </row>
    <row r="3" ht="29" spans="1:10">
      <c r="A3" s="30" t="s">
        <v>127</v>
      </c>
      <c r="B3" s="31" t="s">
        <v>34</v>
      </c>
      <c r="C3" s="31" t="s">
        <v>108</v>
      </c>
      <c r="D3" s="30">
        <v>1</v>
      </c>
      <c r="E3" s="30">
        <v>1</v>
      </c>
      <c r="F3" s="30">
        <v>1</v>
      </c>
      <c r="G3" s="30">
        <v>1</v>
      </c>
      <c r="H3" s="30">
        <v>2</v>
      </c>
      <c r="I3" s="30">
        <f t="shared" si="0"/>
        <v>1.2</v>
      </c>
      <c r="J3" s="30">
        <f t="shared" si="1"/>
        <v>0.447213595499958</v>
      </c>
    </row>
    <row r="4" ht="43.5" spans="1:10">
      <c r="A4" s="30" t="s">
        <v>128</v>
      </c>
      <c r="B4" s="31" t="s">
        <v>40</v>
      </c>
      <c r="C4" s="31" t="s">
        <v>110</v>
      </c>
      <c r="D4" s="30">
        <v>4</v>
      </c>
      <c r="E4" s="30">
        <v>5</v>
      </c>
      <c r="F4" s="30">
        <v>5</v>
      </c>
      <c r="G4" s="30">
        <v>5</v>
      </c>
      <c r="H4" s="30">
        <v>4</v>
      </c>
      <c r="I4" s="30">
        <f t="shared" si="0"/>
        <v>4.6</v>
      </c>
      <c r="J4" s="30">
        <f t="shared" si="1"/>
        <v>0.547722557505166</v>
      </c>
    </row>
    <row r="5" ht="29" spans="1:10">
      <c r="A5" s="30" t="s">
        <v>129</v>
      </c>
      <c r="B5" s="31" t="s">
        <v>46</v>
      </c>
      <c r="C5" s="31" t="s">
        <v>112</v>
      </c>
      <c r="D5" s="30">
        <v>3</v>
      </c>
      <c r="E5" s="30">
        <v>2</v>
      </c>
      <c r="F5" s="30">
        <v>3</v>
      </c>
      <c r="G5" s="30">
        <v>3</v>
      </c>
      <c r="H5" s="30">
        <v>3</v>
      </c>
      <c r="I5" s="30">
        <f t="shared" si="0"/>
        <v>2.8</v>
      </c>
      <c r="J5" s="30">
        <f t="shared" si="1"/>
        <v>0.447213595499958</v>
      </c>
    </row>
    <row r="6" ht="29" spans="1:10">
      <c r="A6" s="30" t="s">
        <v>130</v>
      </c>
      <c r="B6" s="31" t="s">
        <v>52</v>
      </c>
      <c r="C6" s="31" t="s">
        <v>114</v>
      </c>
      <c r="D6" s="30">
        <v>3</v>
      </c>
      <c r="E6" s="30">
        <v>3</v>
      </c>
      <c r="F6" s="30">
        <v>4</v>
      </c>
      <c r="G6" s="30">
        <v>4</v>
      </c>
      <c r="H6" s="30">
        <v>4</v>
      </c>
      <c r="I6" s="30">
        <f t="shared" si="0"/>
        <v>3.6</v>
      </c>
      <c r="J6" s="30">
        <f t="shared" si="1"/>
        <v>0.547722557505166</v>
      </c>
    </row>
    <row r="7" ht="29" spans="1:10">
      <c r="A7" s="30" t="s">
        <v>131</v>
      </c>
      <c r="B7" s="31" t="s">
        <v>58</v>
      </c>
      <c r="C7" s="31" t="s">
        <v>116</v>
      </c>
      <c r="D7" s="30">
        <v>2</v>
      </c>
      <c r="E7" s="30">
        <v>2</v>
      </c>
      <c r="F7" s="30">
        <v>3</v>
      </c>
      <c r="G7" s="30">
        <v>2</v>
      </c>
      <c r="H7" s="30">
        <v>3</v>
      </c>
      <c r="I7" s="30">
        <f t="shared" si="0"/>
        <v>2.4</v>
      </c>
      <c r="J7" s="30">
        <f t="shared" si="1"/>
        <v>0.547722557505166</v>
      </c>
    </row>
    <row r="8" ht="29" spans="1:10">
      <c r="A8" s="30" t="s">
        <v>132</v>
      </c>
      <c r="B8" s="31" t="s">
        <v>64</v>
      </c>
      <c r="C8" s="31" t="s">
        <v>118</v>
      </c>
      <c r="D8" s="30">
        <v>5</v>
      </c>
      <c r="E8" s="30">
        <v>4</v>
      </c>
      <c r="F8" s="30">
        <v>5</v>
      </c>
      <c r="G8" s="30">
        <v>5</v>
      </c>
      <c r="H8" s="30">
        <v>4</v>
      </c>
      <c r="I8" s="30">
        <f t="shared" si="0"/>
        <v>4.6</v>
      </c>
      <c r="J8" s="30">
        <f t="shared" si="1"/>
        <v>0.547722557505166</v>
      </c>
    </row>
    <row r="9" ht="29" spans="1:10">
      <c r="A9" s="30" t="s">
        <v>133</v>
      </c>
      <c r="B9" s="31" t="s">
        <v>70</v>
      </c>
      <c r="C9" s="31" t="s">
        <v>120</v>
      </c>
      <c r="D9" s="30">
        <v>3</v>
      </c>
      <c r="E9" s="30">
        <v>3</v>
      </c>
      <c r="F9" s="30">
        <v>4</v>
      </c>
      <c r="G9" s="30">
        <v>4</v>
      </c>
      <c r="H9" s="30">
        <v>3</v>
      </c>
      <c r="I9" s="30">
        <f t="shared" si="0"/>
        <v>3.4</v>
      </c>
      <c r="J9" s="30">
        <f t="shared" si="1"/>
        <v>0.547722557505166</v>
      </c>
    </row>
    <row r="10" ht="29" spans="1:10">
      <c r="A10" s="30" t="s">
        <v>134</v>
      </c>
      <c r="B10" s="31" t="s">
        <v>76</v>
      </c>
      <c r="C10" s="31" t="s">
        <v>122</v>
      </c>
      <c r="D10" s="30">
        <v>2</v>
      </c>
      <c r="E10" s="30">
        <v>3</v>
      </c>
      <c r="F10" s="30">
        <v>2</v>
      </c>
      <c r="G10" s="30">
        <v>3</v>
      </c>
      <c r="H10" s="30">
        <v>3</v>
      </c>
      <c r="I10" s="30">
        <f t="shared" si="0"/>
        <v>2.6</v>
      </c>
      <c r="J10" s="30">
        <f t="shared" si="1"/>
        <v>0.547722557505166</v>
      </c>
    </row>
    <row r="11" ht="29" spans="1:10">
      <c r="A11" s="30" t="s">
        <v>135</v>
      </c>
      <c r="B11" s="31" t="s">
        <v>82</v>
      </c>
      <c r="C11" s="31" t="s">
        <v>124</v>
      </c>
      <c r="D11" s="30">
        <v>5</v>
      </c>
      <c r="E11" s="30">
        <v>4</v>
      </c>
      <c r="F11" s="30">
        <v>4</v>
      </c>
      <c r="G11" s="30">
        <v>5</v>
      </c>
      <c r="H11" s="30">
        <v>5</v>
      </c>
      <c r="I11" s="30">
        <f t="shared" si="0"/>
        <v>4.6</v>
      </c>
      <c r="J11" s="30">
        <f t="shared" si="1"/>
        <v>0.547722557505166</v>
      </c>
    </row>
    <row r="12" ht="15.5" spans="1:10">
      <c r="A12" s="32"/>
      <c r="B12" s="32" t="s">
        <v>136</v>
      </c>
      <c r="C12" s="32"/>
      <c r="D12" s="32">
        <f>SUM(D2:D11)</f>
        <v>30</v>
      </c>
      <c r="E12" s="32">
        <f>SUM(E2:E11)</f>
        <v>30</v>
      </c>
      <c r="F12" s="32">
        <f>SUM(F2:F11)</f>
        <v>34</v>
      </c>
      <c r="G12" s="32">
        <f>SUM(G2:G11)</f>
        <v>34</v>
      </c>
      <c r="H12" s="32">
        <f>SUM(H2:H11)</f>
        <v>34</v>
      </c>
      <c r="I12" s="32">
        <f t="shared" si="0"/>
        <v>32.4</v>
      </c>
      <c r="J12" s="32"/>
    </row>
  </sheetData>
  <pageMargins left="0.75" right="0.75" top="1" bottom="1" header="0.511811023622047" footer="0.511811023622047"/>
  <pageSetup paperSize="9" orientation="portrait" horizontalDpi="300" verticalDpi="300"/>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zoomScale="75" zoomScaleNormal="75" workbookViewId="0">
      <selection activeCell="L10" sqref="L10"/>
    </sheetView>
  </sheetViews>
  <sheetFormatPr defaultColWidth="8.63636363636364" defaultRowHeight="14.5" outlineLevelCol="5"/>
  <cols>
    <col min="1" max="1" width="35.5454545454545" customWidth="1"/>
    <col min="2" max="2" width="59.5454545454545" customWidth="1"/>
    <col min="3" max="6" width="12" customWidth="1"/>
  </cols>
  <sheetData>
    <row r="1" ht="15.5" spans="1:6">
      <c r="A1" s="24" t="s">
        <v>22</v>
      </c>
      <c r="B1" s="24" t="s">
        <v>102</v>
      </c>
      <c r="C1" s="24" t="s">
        <v>137</v>
      </c>
      <c r="D1" s="24" t="s">
        <v>138</v>
      </c>
      <c r="E1" s="24" t="s">
        <v>139</v>
      </c>
      <c r="F1" s="24" t="s">
        <v>140</v>
      </c>
    </row>
    <row r="2" ht="29" spans="1:6">
      <c r="A2" s="25" t="s">
        <v>28</v>
      </c>
      <c r="B2" s="26" t="s">
        <v>106</v>
      </c>
      <c r="C2" s="27">
        <v>3.4</v>
      </c>
      <c r="D2" s="27">
        <v>0.547722557505167</v>
      </c>
      <c r="E2" s="27">
        <v>2.6</v>
      </c>
      <c r="F2" s="27">
        <v>0.547722557505167</v>
      </c>
    </row>
    <row r="3" ht="29" spans="1:6">
      <c r="A3" s="25" t="s">
        <v>34</v>
      </c>
      <c r="B3" s="26" t="s">
        <v>108</v>
      </c>
      <c r="C3" s="27">
        <v>4.6</v>
      </c>
      <c r="D3" s="27">
        <v>0.547722557505167</v>
      </c>
      <c r="E3" s="27">
        <v>1.2</v>
      </c>
      <c r="F3" s="27">
        <v>0.447213595499958</v>
      </c>
    </row>
    <row r="4" ht="29" spans="1:6">
      <c r="A4" s="25" t="s">
        <v>40</v>
      </c>
      <c r="B4" s="26" t="s">
        <v>110</v>
      </c>
      <c r="C4" s="27">
        <v>3.2</v>
      </c>
      <c r="D4" s="27">
        <v>0.836660026534075</v>
      </c>
      <c r="E4" s="27">
        <v>4.6</v>
      </c>
      <c r="F4" s="27">
        <v>0.547722557505167</v>
      </c>
    </row>
    <row r="5" ht="29" spans="1:6">
      <c r="A5" s="25" t="s">
        <v>46</v>
      </c>
      <c r="B5" s="26" t="s">
        <v>112</v>
      </c>
      <c r="C5" s="27">
        <v>4.8</v>
      </c>
      <c r="D5" s="27">
        <v>0.447213595499958</v>
      </c>
      <c r="E5" s="27">
        <v>2.8</v>
      </c>
      <c r="F5" s="27">
        <v>0.447213595499957</v>
      </c>
    </row>
    <row r="6" ht="29" spans="1:6">
      <c r="A6" s="25" t="s">
        <v>52</v>
      </c>
      <c r="B6" s="26" t="s">
        <v>114</v>
      </c>
      <c r="C6" s="27">
        <v>4.6</v>
      </c>
      <c r="D6" s="27">
        <v>0.547722557505167</v>
      </c>
      <c r="E6" s="27">
        <v>3.6</v>
      </c>
      <c r="F6" s="27">
        <v>0.547722557505167</v>
      </c>
    </row>
    <row r="7" ht="29" spans="1:6">
      <c r="A7" s="25" t="s">
        <v>58</v>
      </c>
      <c r="B7" s="26" t="s">
        <v>116</v>
      </c>
      <c r="C7" s="27">
        <v>4.2</v>
      </c>
      <c r="D7" s="27">
        <v>0.447213595499958</v>
      </c>
      <c r="E7" s="27">
        <v>2.4</v>
      </c>
      <c r="F7" s="27">
        <v>0.547722557505166</v>
      </c>
    </row>
    <row r="8" ht="29" spans="1:6">
      <c r="A8" s="25" t="s">
        <v>64</v>
      </c>
      <c r="B8" s="26" t="s">
        <v>118</v>
      </c>
      <c r="C8" s="27">
        <v>3</v>
      </c>
      <c r="D8" s="27">
        <v>0.707106781186548</v>
      </c>
      <c r="E8" s="27">
        <v>4.6</v>
      </c>
      <c r="F8" s="27">
        <v>0.547722557505167</v>
      </c>
    </row>
    <row r="9" ht="29" spans="1:6">
      <c r="A9" s="25" t="s">
        <v>70</v>
      </c>
      <c r="B9" s="26" t="s">
        <v>120</v>
      </c>
      <c r="C9" s="27">
        <v>4.8</v>
      </c>
      <c r="D9" s="27">
        <v>0.447213595499958</v>
      </c>
      <c r="E9" s="27">
        <v>3.4</v>
      </c>
      <c r="F9" s="27">
        <v>0.547722557505167</v>
      </c>
    </row>
    <row r="10" ht="29" spans="1:6">
      <c r="A10" s="25" t="s">
        <v>76</v>
      </c>
      <c r="B10" s="26" t="s">
        <v>122</v>
      </c>
      <c r="C10" s="27">
        <v>4.6</v>
      </c>
      <c r="D10" s="27">
        <v>0.547722557505167</v>
      </c>
      <c r="E10" s="27">
        <v>2.6</v>
      </c>
      <c r="F10" s="27">
        <v>0.547722557505167</v>
      </c>
    </row>
    <row r="11" ht="29" spans="1:6">
      <c r="A11" s="25" t="s">
        <v>82</v>
      </c>
      <c r="B11" s="26" t="s">
        <v>124</v>
      </c>
      <c r="C11" s="27">
        <v>3</v>
      </c>
      <c r="D11" s="27">
        <v>0.707106781186548</v>
      </c>
      <c r="E11" s="27">
        <v>4.6</v>
      </c>
      <c r="F11" s="27">
        <v>0.547722557505167</v>
      </c>
    </row>
    <row r="12" ht="15.5" spans="1:6">
      <c r="A12" s="28" t="s">
        <v>141</v>
      </c>
      <c r="B12" s="28"/>
      <c r="C12" s="28">
        <f>SUM(C2:C11)</f>
        <v>40.2</v>
      </c>
      <c r="D12" s="28"/>
      <c r="E12" s="28">
        <f>SUM(E2:E11)</f>
        <v>32.4</v>
      </c>
      <c r="F12" s="28"/>
    </row>
  </sheetData>
  <pageMargins left="0.75" right="0.75" top="1" bottom="1" header="0.511811023622047" footer="0.511811023622047"/>
  <pageSetup paperSize="9" orientation="portrait" horizontalDpi="300" verticalDpi="300"/>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0"/>
  <sheetViews>
    <sheetView zoomScale="85" zoomScaleNormal="85" topLeftCell="A13" workbookViewId="0">
      <selection activeCell="D6" sqref="D6"/>
    </sheetView>
  </sheetViews>
  <sheetFormatPr defaultColWidth="8.63636363636364" defaultRowHeight="14.5" outlineLevelCol="1"/>
  <cols>
    <col min="1" max="1" width="36.0909090909091" customWidth="1"/>
    <col min="2" max="2" width="90" customWidth="1"/>
  </cols>
  <sheetData>
    <row r="1" ht="29" customHeight="1" spans="1:2">
      <c r="A1" s="15" t="s">
        <v>142</v>
      </c>
      <c r="B1" s="15"/>
    </row>
    <row r="2" ht="58" spans="1:2">
      <c r="A2" s="16" t="s">
        <v>143</v>
      </c>
      <c r="B2" s="17" t="s">
        <v>144</v>
      </c>
    </row>
    <row r="3" spans="1:2">
      <c r="A3" s="16"/>
      <c r="B3" s="17"/>
    </row>
    <row r="4" spans="1:2">
      <c r="A4" s="16" t="s">
        <v>145</v>
      </c>
      <c r="B4" s="17" t="s">
        <v>146</v>
      </c>
    </row>
    <row r="5" ht="43.5" spans="1:2">
      <c r="A5" s="16" t="s">
        <v>147</v>
      </c>
      <c r="B5" s="17" t="s">
        <v>148</v>
      </c>
    </row>
    <row r="6" spans="1:2">
      <c r="A6" s="16"/>
      <c r="B6" s="17"/>
    </row>
    <row r="7" spans="1:2">
      <c r="A7" s="16" t="s">
        <v>149</v>
      </c>
      <c r="B7" s="17"/>
    </row>
    <row r="8" spans="1:2">
      <c r="A8" s="16" t="s">
        <v>150</v>
      </c>
      <c r="B8" s="17" t="s">
        <v>151</v>
      </c>
    </row>
    <row r="9" ht="29" spans="1:2">
      <c r="A9" s="16" t="s">
        <v>152</v>
      </c>
      <c r="B9" s="17" t="s">
        <v>153</v>
      </c>
    </row>
    <row r="10" spans="1:2">
      <c r="A10" s="16" t="s">
        <v>154</v>
      </c>
      <c r="B10" s="17" t="s">
        <v>155</v>
      </c>
    </row>
    <row r="11" spans="1:2">
      <c r="A11" s="16" t="s">
        <v>156</v>
      </c>
      <c r="B11" s="17" t="s">
        <v>157</v>
      </c>
    </row>
    <row r="12" spans="1:2">
      <c r="A12" s="16"/>
      <c r="B12" s="17"/>
    </row>
    <row r="13" ht="43.5" spans="1:2">
      <c r="A13" s="16" t="s">
        <v>158</v>
      </c>
      <c r="B13" s="17" t="s">
        <v>159</v>
      </c>
    </row>
    <row r="14" spans="1:2">
      <c r="A14" s="16"/>
      <c r="B14" s="17"/>
    </row>
    <row r="15" spans="1:2">
      <c r="A15" s="16" t="s">
        <v>160</v>
      </c>
      <c r="B15" s="17" t="s">
        <v>161</v>
      </c>
    </row>
    <row r="16" spans="1:2">
      <c r="A16" s="16"/>
      <c r="B16" s="17"/>
    </row>
    <row r="17" spans="1:2">
      <c r="A17" s="18" t="s">
        <v>162</v>
      </c>
      <c r="B17" s="19"/>
    </row>
    <row r="18" spans="1:2">
      <c r="A18" s="16" t="s">
        <v>163</v>
      </c>
      <c r="B18" s="17" t="s">
        <v>164</v>
      </c>
    </row>
    <row r="19" spans="1:2">
      <c r="A19" s="16" t="s">
        <v>165</v>
      </c>
      <c r="B19" s="17" t="s">
        <v>166</v>
      </c>
    </row>
    <row r="20" spans="1:2">
      <c r="A20" s="16" t="s">
        <v>167</v>
      </c>
      <c r="B20" s="17" t="s">
        <v>168</v>
      </c>
    </row>
    <row r="21" spans="1:2">
      <c r="A21" s="16" t="s">
        <v>169</v>
      </c>
      <c r="B21" s="17" t="s">
        <v>170</v>
      </c>
    </row>
    <row r="22" spans="1:2">
      <c r="A22" s="16"/>
      <c r="B22" s="17"/>
    </row>
    <row r="23" spans="1:2">
      <c r="A23" s="16"/>
      <c r="B23" s="17"/>
    </row>
    <row r="24" spans="1:2">
      <c r="A24" s="18" t="s">
        <v>171</v>
      </c>
      <c r="B24" s="20"/>
    </row>
    <row r="25" spans="1:2">
      <c r="A25" s="16" t="s">
        <v>172</v>
      </c>
      <c r="B25" s="21">
        <v>0.76</v>
      </c>
    </row>
    <row r="26" spans="1:2">
      <c r="A26" s="16" t="s">
        <v>173</v>
      </c>
      <c r="B26" s="21">
        <v>0.94</v>
      </c>
    </row>
    <row r="27" spans="1:2">
      <c r="A27" s="16" t="s">
        <v>174</v>
      </c>
      <c r="B27" s="22">
        <v>0.886</v>
      </c>
    </row>
    <row r="28" spans="1:2">
      <c r="A28" s="16" t="s">
        <v>175</v>
      </c>
      <c r="B28" s="22">
        <v>0.973</v>
      </c>
    </row>
    <row r="29" spans="1:2">
      <c r="A29" s="16" t="s">
        <v>176</v>
      </c>
      <c r="B29" s="22">
        <v>18.087</v>
      </c>
    </row>
    <row r="30" spans="1:2">
      <c r="A30" s="23" t="s">
        <v>177</v>
      </c>
      <c r="B30" s="22" t="s">
        <v>178</v>
      </c>
    </row>
  </sheetData>
  <mergeCells count="1">
    <mergeCell ref="A1:B1"/>
  </mergeCells>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D2" sqref="D2:H20"/>
    </sheetView>
  </sheetViews>
  <sheetFormatPr defaultColWidth="8.63636363636364" defaultRowHeight="14.5" outlineLevelCol="7"/>
  <cols>
    <col min="1" max="1" width="10.3636363636364" customWidth="1"/>
    <col min="2" max="2" width="22.0909090909091" customWidth="1"/>
    <col min="3" max="3" width="32" customWidth="1"/>
    <col min="4" max="8" width="8" customWidth="1"/>
  </cols>
  <sheetData>
    <row r="1" ht="15.5" spans="1:8">
      <c r="A1" s="12" t="s">
        <v>101</v>
      </c>
      <c r="B1" s="12" t="s">
        <v>179</v>
      </c>
      <c r="C1" s="12" t="s">
        <v>180</v>
      </c>
      <c r="D1" s="12" t="s">
        <v>5</v>
      </c>
      <c r="E1" s="12" t="s">
        <v>9</v>
      </c>
      <c r="F1" s="12" t="s">
        <v>12</v>
      </c>
      <c r="G1" s="12" t="s">
        <v>15</v>
      </c>
      <c r="H1" s="12" t="s">
        <v>17</v>
      </c>
    </row>
    <row r="2" spans="1:8">
      <c r="A2" s="13" t="s">
        <v>105</v>
      </c>
      <c r="B2" s="13" t="s">
        <v>181</v>
      </c>
      <c r="C2" s="14" t="s">
        <v>28</v>
      </c>
      <c r="D2" s="13">
        <v>3</v>
      </c>
      <c r="E2" s="13">
        <v>4</v>
      </c>
      <c r="F2" s="13">
        <v>3</v>
      </c>
      <c r="G2" s="13">
        <v>3</v>
      </c>
      <c r="H2" s="13">
        <v>4</v>
      </c>
    </row>
    <row r="3" spans="1:8">
      <c r="A3" s="13" t="s">
        <v>107</v>
      </c>
      <c r="B3" s="13" t="s">
        <v>181</v>
      </c>
      <c r="C3" s="14" t="s">
        <v>34</v>
      </c>
      <c r="D3" s="13">
        <v>5</v>
      </c>
      <c r="E3" s="13">
        <v>4</v>
      </c>
      <c r="F3" s="13">
        <v>5</v>
      </c>
      <c r="G3" s="13">
        <v>4</v>
      </c>
      <c r="H3" s="13">
        <v>5</v>
      </c>
    </row>
    <row r="4" spans="1:8">
      <c r="A4" s="13" t="s">
        <v>109</v>
      </c>
      <c r="B4" s="13" t="s">
        <v>181</v>
      </c>
      <c r="C4" s="14" t="s">
        <v>40</v>
      </c>
      <c r="D4" s="13">
        <v>3</v>
      </c>
      <c r="E4" s="13">
        <v>2</v>
      </c>
      <c r="F4" s="13">
        <v>4</v>
      </c>
      <c r="G4" s="13">
        <v>3</v>
      </c>
      <c r="H4" s="13">
        <v>4</v>
      </c>
    </row>
    <row r="5" spans="1:8">
      <c r="A5" s="13" t="s">
        <v>111</v>
      </c>
      <c r="B5" s="13" t="s">
        <v>181</v>
      </c>
      <c r="C5" s="14" t="s">
        <v>46</v>
      </c>
      <c r="D5" s="13">
        <v>4</v>
      </c>
      <c r="E5" s="13">
        <v>5</v>
      </c>
      <c r="F5" s="13">
        <v>5</v>
      </c>
      <c r="G5" s="13">
        <v>5</v>
      </c>
      <c r="H5" s="13">
        <v>5</v>
      </c>
    </row>
    <row r="6" spans="1:8">
      <c r="A6" s="13" t="s">
        <v>113</v>
      </c>
      <c r="B6" s="13" t="s">
        <v>181</v>
      </c>
      <c r="C6" s="14" t="s">
        <v>52</v>
      </c>
      <c r="D6" s="13">
        <v>5</v>
      </c>
      <c r="E6" s="13">
        <v>5</v>
      </c>
      <c r="F6" s="13">
        <v>4</v>
      </c>
      <c r="G6" s="13">
        <v>5</v>
      </c>
      <c r="H6" s="13">
        <v>4</v>
      </c>
    </row>
    <row r="7" spans="1:8">
      <c r="A7" s="13" t="s">
        <v>115</v>
      </c>
      <c r="B7" s="13" t="s">
        <v>181</v>
      </c>
      <c r="C7" s="14" t="s">
        <v>58</v>
      </c>
      <c r="D7" s="13">
        <v>4</v>
      </c>
      <c r="E7" s="13">
        <v>4</v>
      </c>
      <c r="F7" s="13">
        <v>4</v>
      </c>
      <c r="G7" s="13">
        <v>5</v>
      </c>
      <c r="H7" s="13">
        <v>4</v>
      </c>
    </row>
    <row r="8" spans="1:8">
      <c r="A8" s="13" t="s">
        <v>117</v>
      </c>
      <c r="B8" s="13" t="s">
        <v>181</v>
      </c>
      <c r="C8" s="14" t="s">
        <v>64</v>
      </c>
      <c r="D8" s="13">
        <v>3</v>
      </c>
      <c r="E8" s="13">
        <v>2</v>
      </c>
      <c r="F8" s="13">
        <v>3</v>
      </c>
      <c r="G8" s="13">
        <v>4</v>
      </c>
      <c r="H8" s="13">
        <v>3</v>
      </c>
    </row>
    <row r="9" spans="1:8">
      <c r="A9" s="13" t="s">
        <v>119</v>
      </c>
      <c r="B9" s="13" t="s">
        <v>181</v>
      </c>
      <c r="C9" s="14" t="s">
        <v>70</v>
      </c>
      <c r="D9" s="13">
        <v>5</v>
      </c>
      <c r="E9" s="13">
        <v>5</v>
      </c>
      <c r="F9" s="13">
        <v>4</v>
      </c>
      <c r="G9" s="13">
        <v>5</v>
      </c>
      <c r="H9" s="13">
        <v>5</v>
      </c>
    </row>
    <row r="10" spans="1:8">
      <c r="A10" s="13" t="s">
        <v>121</v>
      </c>
      <c r="B10" s="13" t="s">
        <v>181</v>
      </c>
      <c r="C10" s="14" t="s">
        <v>76</v>
      </c>
      <c r="D10" s="13">
        <v>5</v>
      </c>
      <c r="E10" s="13">
        <v>4</v>
      </c>
      <c r="F10" s="13">
        <v>5</v>
      </c>
      <c r="G10" s="13">
        <v>5</v>
      </c>
      <c r="H10" s="13">
        <v>4</v>
      </c>
    </row>
    <row r="11" spans="1:8">
      <c r="A11" s="13" t="s">
        <v>123</v>
      </c>
      <c r="B11" s="13" t="s">
        <v>181</v>
      </c>
      <c r="C11" s="14" t="s">
        <v>82</v>
      </c>
      <c r="D11" s="13">
        <v>3</v>
      </c>
      <c r="E11" s="13">
        <v>2</v>
      </c>
      <c r="F11" s="13">
        <v>4</v>
      </c>
      <c r="G11" s="13">
        <v>3</v>
      </c>
      <c r="H11" s="13">
        <v>3</v>
      </c>
    </row>
    <row r="12" spans="1:8">
      <c r="A12" s="13" t="s">
        <v>126</v>
      </c>
      <c r="B12" s="13" t="s">
        <v>182</v>
      </c>
      <c r="C12" s="14" t="s">
        <v>28</v>
      </c>
      <c r="D12" s="13">
        <v>2</v>
      </c>
      <c r="E12" s="13">
        <v>3</v>
      </c>
      <c r="F12" s="13">
        <v>3</v>
      </c>
      <c r="G12" s="13">
        <v>2</v>
      </c>
      <c r="H12" s="13">
        <v>3</v>
      </c>
    </row>
    <row r="13" spans="1:8">
      <c r="A13" s="13" t="s">
        <v>127</v>
      </c>
      <c r="B13" s="13" t="s">
        <v>182</v>
      </c>
      <c r="C13" s="14" t="s">
        <v>34</v>
      </c>
      <c r="D13" s="13">
        <v>1</v>
      </c>
      <c r="E13" s="13">
        <v>1</v>
      </c>
      <c r="F13" s="13">
        <v>1</v>
      </c>
      <c r="G13" s="13">
        <v>1</v>
      </c>
      <c r="H13" s="13">
        <v>2</v>
      </c>
    </row>
    <row r="14" spans="1:8">
      <c r="A14" s="13" t="s">
        <v>128</v>
      </c>
      <c r="B14" s="13" t="s">
        <v>182</v>
      </c>
      <c r="C14" s="14" t="s">
        <v>40</v>
      </c>
      <c r="D14" s="13">
        <v>4</v>
      </c>
      <c r="E14" s="13">
        <v>5</v>
      </c>
      <c r="F14" s="13">
        <v>5</v>
      </c>
      <c r="G14" s="13">
        <v>5</v>
      </c>
      <c r="H14" s="13">
        <v>4</v>
      </c>
    </row>
    <row r="15" spans="1:8">
      <c r="A15" s="13" t="s">
        <v>129</v>
      </c>
      <c r="B15" s="13" t="s">
        <v>182</v>
      </c>
      <c r="C15" s="14" t="s">
        <v>46</v>
      </c>
      <c r="D15" s="13">
        <v>3</v>
      </c>
      <c r="E15" s="13">
        <v>2</v>
      </c>
      <c r="F15" s="13">
        <v>3</v>
      </c>
      <c r="G15" s="13">
        <v>3</v>
      </c>
      <c r="H15" s="13">
        <v>3</v>
      </c>
    </row>
    <row r="16" spans="1:8">
      <c r="A16" s="13" t="s">
        <v>130</v>
      </c>
      <c r="B16" s="13" t="s">
        <v>182</v>
      </c>
      <c r="C16" s="14" t="s">
        <v>52</v>
      </c>
      <c r="D16" s="13">
        <v>3</v>
      </c>
      <c r="E16" s="13">
        <v>3</v>
      </c>
      <c r="F16" s="13">
        <v>4</v>
      </c>
      <c r="G16" s="13">
        <v>4</v>
      </c>
      <c r="H16" s="13">
        <v>4</v>
      </c>
    </row>
    <row r="17" spans="1:8">
      <c r="A17" s="13" t="s">
        <v>131</v>
      </c>
      <c r="B17" s="13" t="s">
        <v>182</v>
      </c>
      <c r="C17" s="14" t="s">
        <v>58</v>
      </c>
      <c r="D17" s="13">
        <v>2</v>
      </c>
      <c r="E17" s="13">
        <v>2</v>
      </c>
      <c r="F17" s="13">
        <v>3</v>
      </c>
      <c r="G17" s="13">
        <v>2</v>
      </c>
      <c r="H17" s="13">
        <v>3</v>
      </c>
    </row>
    <row r="18" spans="1:8">
      <c r="A18" s="13" t="s">
        <v>132</v>
      </c>
      <c r="B18" s="13" t="s">
        <v>182</v>
      </c>
      <c r="C18" s="14" t="s">
        <v>64</v>
      </c>
      <c r="D18" s="13">
        <v>5</v>
      </c>
      <c r="E18" s="13">
        <v>4</v>
      </c>
      <c r="F18" s="13">
        <v>5</v>
      </c>
      <c r="G18" s="13">
        <v>5</v>
      </c>
      <c r="H18" s="13">
        <v>4</v>
      </c>
    </row>
    <row r="19" spans="1:8">
      <c r="A19" s="13" t="s">
        <v>133</v>
      </c>
      <c r="B19" s="13" t="s">
        <v>182</v>
      </c>
      <c r="C19" s="14" t="s">
        <v>70</v>
      </c>
      <c r="D19" s="13">
        <v>3</v>
      </c>
      <c r="E19" s="13">
        <v>3</v>
      </c>
      <c r="F19" s="13">
        <v>4</v>
      </c>
      <c r="G19" s="13">
        <v>4</v>
      </c>
      <c r="H19" s="13">
        <v>3</v>
      </c>
    </row>
    <row r="20" spans="1:8">
      <c r="A20" s="13" t="s">
        <v>134</v>
      </c>
      <c r="B20" s="13" t="s">
        <v>182</v>
      </c>
      <c r="C20" s="14" t="s">
        <v>76</v>
      </c>
      <c r="D20" s="13">
        <v>2</v>
      </c>
      <c r="E20" s="13">
        <v>3</v>
      </c>
      <c r="F20" s="13">
        <v>2</v>
      </c>
      <c r="G20" s="13">
        <v>3</v>
      </c>
      <c r="H20" s="13">
        <v>3</v>
      </c>
    </row>
    <row r="21" spans="1:8">
      <c r="A21" s="13" t="s">
        <v>135</v>
      </c>
      <c r="B21" s="13" t="s">
        <v>182</v>
      </c>
      <c r="C21" s="14" t="s">
        <v>82</v>
      </c>
      <c r="D21" s="13">
        <v>5</v>
      </c>
      <c r="E21" s="13">
        <v>4</v>
      </c>
      <c r="F21" s="13">
        <v>4</v>
      </c>
      <c r="G21" s="13">
        <v>5</v>
      </c>
      <c r="H21" s="13">
        <v>5</v>
      </c>
    </row>
  </sheetData>
  <pageMargins left="0.75" right="0.75" top="1" bottom="1" header="0.511811023622047" footer="0.511811023622047"/>
  <pageSetup paperSize="9" orientation="portrait" horizontalDpi="300" verticalDpi="300"/>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
  <sheetViews>
    <sheetView tabSelected="1" workbookViewId="0">
      <selection activeCell="D8" sqref="D8"/>
    </sheetView>
  </sheetViews>
  <sheetFormatPr defaultColWidth="9" defaultRowHeight="14.5" outlineLevelCol="1"/>
  <cols>
    <col min="1" max="1" width="22.1818181818182" customWidth="1"/>
    <col min="2" max="2" width="23.4545454545455" customWidth="1"/>
  </cols>
  <sheetData>
    <row r="1" ht="19.25" spans="1:2">
      <c r="A1" s="1" t="s">
        <v>183</v>
      </c>
      <c r="B1" s="2"/>
    </row>
    <row r="2" ht="16.25" spans="1:2">
      <c r="A2" s="3" t="s">
        <v>184</v>
      </c>
      <c r="B2" s="4" t="s">
        <v>185</v>
      </c>
    </row>
    <row r="3" spans="1:2">
      <c r="A3" s="5" t="s">
        <v>186</v>
      </c>
      <c r="B3" s="6" t="s">
        <v>187</v>
      </c>
    </row>
    <row r="4" spans="1:2">
      <c r="A4" s="7" t="s">
        <v>188</v>
      </c>
      <c r="B4" s="8" t="s">
        <v>189</v>
      </c>
    </row>
    <row r="5" spans="1:2">
      <c r="A5" s="7" t="s">
        <v>190</v>
      </c>
      <c r="B5" s="8">
        <v>20</v>
      </c>
    </row>
    <row r="6" spans="1:2">
      <c r="A6" s="7" t="s">
        <v>191</v>
      </c>
      <c r="B6" s="8">
        <v>5</v>
      </c>
    </row>
    <row r="7" spans="1:2">
      <c r="A7" s="7" t="s">
        <v>192</v>
      </c>
      <c r="B7" s="9">
        <v>0.76</v>
      </c>
    </row>
    <row r="8" spans="1:2">
      <c r="A8" s="7" t="s">
        <v>193</v>
      </c>
      <c r="B8" s="8">
        <v>0.609</v>
      </c>
    </row>
    <row r="9" spans="1:2">
      <c r="A9" s="7" t="s">
        <v>194</v>
      </c>
      <c r="B9" s="9">
        <v>0.88</v>
      </c>
    </row>
    <row r="10" spans="1:2">
      <c r="A10" s="7" t="s">
        <v>195</v>
      </c>
      <c r="B10" s="9">
        <v>0.94</v>
      </c>
    </row>
    <row r="11" spans="1:2">
      <c r="A11" s="7" t="s">
        <v>196</v>
      </c>
      <c r="B11" s="8">
        <v>0.886</v>
      </c>
    </row>
    <row r="12" spans="1:2">
      <c r="A12" s="7" t="s">
        <v>197</v>
      </c>
      <c r="B12" s="8">
        <v>0.973</v>
      </c>
    </row>
    <row r="13" spans="1:2">
      <c r="A13" s="7" t="s">
        <v>176</v>
      </c>
      <c r="B13" s="8">
        <v>18.087</v>
      </c>
    </row>
    <row r="14" spans="1:2">
      <c r="A14" s="7" t="s">
        <v>198</v>
      </c>
      <c r="B14" s="8">
        <v>19</v>
      </c>
    </row>
    <row r="15" spans="1:2">
      <c r="A15" s="7" t="s">
        <v>199</v>
      </c>
      <c r="B15" s="8">
        <v>76</v>
      </c>
    </row>
    <row r="16" spans="1:2">
      <c r="A16" s="7" t="s">
        <v>200</v>
      </c>
      <c r="B16" s="8" t="s">
        <v>201</v>
      </c>
    </row>
    <row r="17" ht="15.25" spans="1:2">
      <c r="A17" s="10" t="s">
        <v>202</v>
      </c>
      <c r="B17" s="11">
        <v>0.945</v>
      </c>
    </row>
  </sheetData>
  <mergeCells count="1">
    <mergeCell ref="A1:B1"/>
  </mergeCell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Evaluator Details</vt:lpstr>
      <vt:lpstr>Scoring Anchors</vt:lpstr>
      <vt:lpstr>General Scoring Rubric</vt:lpstr>
      <vt:lpstr>Power BI - Raw Scores</vt:lpstr>
      <vt:lpstr>Google Data Studio - Raw Scores</vt:lpstr>
      <vt:lpstr>Summary Table</vt:lpstr>
      <vt:lpstr>ICC Methodology</vt:lpstr>
      <vt:lpstr>SPSS Input Matrix</vt:lpstr>
      <vt:lpstr>ICC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AROOBA KHALID</cp:lastModifiedBy>
  <cp:revision>0</cp:revision>
  <dcterms:created xsi:type="dcterms:W3CDTF">2026-08-03T12:01:00Z</dcterms:created>
  <dcterms:modified xsi:type="dcterms:W3CDTF">2026-08-16T16:17:16Z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FE86F273462842AE86DD0878E2871567_12</vt:lpwstr>
  </property>
  <property fmtid="{D5CDD505-2E9C-101B-9397-08002B2CF9AE}" pid="3" name="KSOProductBuildVer">
    <vt:lpwstr>1033-12.1.0.28032</vt:lpwstr>
  </property>
  <property fmtid="{D5CDD505-2E9C-101B-9397-08002B2CF9AE}" pid="4" name="CalculationRule">
    <vt:i4>0</vt:i4>
  </property>
</Properties>
</file>